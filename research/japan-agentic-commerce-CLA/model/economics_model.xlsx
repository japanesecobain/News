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70" customWidth="1" min="4" max="4"/>
    <col width="22" customWidth="1" min="5" max="5"/>
    <col width="13" customWidth="1" min="6" max="6"/>
    <col width="13" customWidth="1" min="7" max="7"/>
    <col width="13" customWidth="1" min="8" max="8"/>
    <col width="30" customWidth="1" min="9" max="9"/>
    <col width="22" customWidth="1" min="10" max="10"/>
    <col width="50" customWidth="1" min="11" max="11"/>
  </cols>
  <sheetData>
    <row r="1">
      <c r="A1" s="1" t="inlineStr">
        <is>
          <t>variable_id</t>
        </is>
      </c>
      <c r="B1" s="1" t="inlineStr">
        <is>
          <t>key</t>
        </is>
      </c>
      <c r="C1" s="1" t="inlineStr">
        <is>
          <t>concept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downside</t>
        </is>
      </c>
      <c r="G1" s="1" t="inlineStr">
        <is>
          <t>base</t>
        </is>
      </c>
      <c r="H1" s="1" t="inlineStr">
        <is>
          <t>upside</t>
        </is>
      </c>
      <c r="I1" s="1" t="inlineStr">
        <is>
          <t>fact_or_assumption</t>
        </is>
      </c>
      <c r="J1" s="1" t="inlineStr">
        <is>
          <t>source_ids</t>
        </is>
      </c>
      <c r="K1" s="1" t="inlineStr">
        <is>
          <t>limitation</t>
        </is>
      </c>
    </row>
    <row r="2">
      <c r="A2" t="inlineStr">
        <is>
          <t>CLA-V01</t>
        </is>
      </c>
      <c r="B2" t="inlineStr">
        <is>
          <t>fx</t>
        </is>
      </c>
      <c r="C2" t="inlineStr">
        <is>
          <t>ALL</t>
        </is>
      </c>
      <c r="D2" t="inlineStr">
        <is>
          <t>Exchange rate used to convert USD API prices</t>
        </is>
      </c>
      <c r="E2" t="inlineStr">
        <is>
          <t>JPY per USD</t>
        </is>
      </c>
      <c r="F2" t="n">
        <v>155</v>
      </c>
      <c r="G2" t="n">
        <v>155</v>
      </c>
      <c r="H2" t="n">
        <v>155</v>
      </c>
      <c r="I2" t="inlineStr">
        <is>
          <t>ASSUMPTION</t>
        </is>
      </c>
      <c r="J2" t="inlineStr">
        <is>
          <t>CLA-S090</t>
        </is>
      </c>
      <c r="K2" t="inlineStr">
        <is>
          <t>Search-reported 2026 average ~158; not an official rate</t>
        </is>
      </c>
    </row>
    <row r="3">
      <c r="A3" t="inlineStr">
        <is>
          <t>CLA-V02</t>
        </is>
      </c>
      <c r="B3" t="inlineStr">
        <is>
          <t>cpi</t>
        </is>
      </c>
      <c r="C3" t="inlineStr">
        <is>
          <t>ALL</t>
        </is>
      </c>
      <c r="D3" t="inlineStr">
        <is>
          <t>Paid cost per app install</t>
        </is>
      </c>
      <c r="E3" t="inlineStr">
        <is>
          <t>JPY/install</t>
        </is>
      </c>
      <c r="F3" t="n">
        <v>600</v>
      </c>
      <c r="G3" t="n">
        <v>450</v>
      </c>
      <c r="H3" t="n">
        <v>300</v>
      </c>
      <c r="I3" t="inlineStr">
        <is>
          <t>ASSUMPTION anchored on third-party benchmarks</t>
        </is>
      </c>
      <c r="J3" t="inlineStr">
        <is>
          <t>CLA-S070;CLA-S071</t>
        </is>
      </c>
      <c r="K3" t="inlineStr">
        <is>
          <t>Benchmarks are dated (2019 shopping CPI USD 3.59; JP iOS USD 2.63 / Android 1.67) and not category-specific for utilities</t>
        </is>
      </c>
    </row>
    <row r="4">
      <c r="A4" t="inlineStr">
        <is>
          <t>CLA-V03</t>
        </is>
      </c>
      <c r="B4" t="inlineStr">
        <is>
          <t>p_signup</t>
        </is>
      </c>
      <c r="C4" t="inlineStr">
        <is>
          <t>ALL</t>
        </is>
      </c>
      <c r="D4" t="inlineStr">
        <is>
          <t>Install -&gt; account created</t>
        </is>
      </c>
      <c r="E4" t="inlineStr">
        <is>
          <t>share</t>
        </is>
      </c>
      <c r="F4" t="n">
        <v>0.6</v>
      </c>
      <c r="G4" t="n">
        <v>0.7</v>
      </c>
      <c r="H4" t="n">
        <v>0.8</v>
      </c>
      <c r="I4" t="inlineStr">
        <is>
          <t>ASSUMPTION</t>
        </is>
      </c>
      <c r="J4" t="inlineStr"/>
      <c r="K4" t="inlineStr">
        <is>
          <t>No JP benchmark found</t>
        </is>
      </c>
    </row>
    <row r="5">
      <c r="A5" t="inlineStr">
        <is>
          <t>CLA-V04</t>
        </is>
      </c>
      <c r="B5" t="inlineStr">
        <is>
          <t>p_perm</t>
        </is>
      </c>
      <c r="C5" t="inlineStr">
        <is>
          <t>ALL</t>
        </is>
      </c>
      <c r="D5" t="inlineStr">
        <is>
          <t>Account -&gt; grants inbox access or sets up forwarding</t>
        </is>
      </c>
      <c r="E5" t="inlineStr">
        <is>
          <t>share</t>
        </is>
      </c>
      <c r="F5" t="n">
        <v>0.25</v>
      </c>
      <c r="G5" t="n">
        <v>0.4</v>
      </c>
      <c r="H5" t="n">
        <v>0.55</v>
      </c>
      <c r="I5" t="inlineStr">
        <is>
          <t>ASSUMPTION</t>
        </is>
      </c>
      <c r="J5" t="inlineStr">
        <is>
          <t>CLA-S060</t>
        </is>
      </c>
      <c r="K5" t="inlineStr">
        <is>
          <t>No permission-conversion benchmark found; Visa JP survey shows distrust of delegation but did not measure inbox connection</t>
        </is>
      </c>
    </row>
    <row r="6">
      <c r="A6" t="inlineStr">
        <is>
          <t>CLA-V05</t>
        </is>
      </c>
      <c r="B6" t="inlineStr">
        <is>
          <t>p_ingest</t>
        </is>
      </c>
      <c r="C6" t="inlineStr">
        <is>
          <t>ALL</t>
        </is>
      </c>
      <c r="D6" t="inlineStr">
        <is>
          <t>Permission -&gt; at least one order correctly ingested within 7 days</t>
        </is>
      </c>
      <c r="E6" t="inlineStr">
        <is>
          <t>share</t>
        </is>
      </c>
      <c r="F6" t="n">
        <v>0.6</v>
      </c>
      <c r="G6" t="n">
        <v>0.75</v>
      </c>
      <c r="H6" t="n">
        <v>0.85</v>
      </c>
      <c r="I6" t="inlineStr">
        <is>
          <t>ASSUMPTION</t>
        </is>
      </c>
      <c r="J6" t="inlineStr">
        <is>
          <t>CLA-S040;CLA-S041</t>
        </is>
      </c>
      <c r="K6" t="inlineStr">
        <is>
          <t>Amazon removed item names from confirmation emails (2026-07-08, documented for US; JP applicability unverified)</t>
        </is>
      </c>
    </row>
    <row r="7">
      <c r="A7" t="inlineStr">
        <is>
          <t>CLA-V06</t>
        </is>
      </c>
      <c r="B7" t="inlineStr">
        <is>
          <t>p_ret3</t>
        </is>
      </c>
      <c r="C7" t="inlineStr">
        <is>
          <t>ALL</t>
        </is>
      </c>
      <c r="D7" t="inlineStr">
        <is>
          <t>Activated user still active in month 3</t>
        </is>
      </c>
      <c r="E7" t="inlineStr">
        <is>
          <t>share of activated</t>
        </is>
      </c>
      <c r="F7" t="n">
        <v>0.1</v>
      </c>
      <c r="G7" t="n">
        <v>0.2</v>
      </c>
      <c r="H7" t="n">
        <v>0.35</v>
      </c>
      <c r="I7" t="inlineStr">
        <is>
          <t>ASSUMPTION</t>
        </is>
      </c>
      <c r="J7" t="inlineStr">
        <is>
          <t>CLA-S072</t>
        </is>
      </c>
      <c r="K7" t="inlineStr">
        <is>
          <t>Shopping-app benchmark is D30 ~4% of installs in APAC (Adjust); a passive tracker may differ</t>
        </is>
      </c>
    </row>
    <row r="8">
      <c r="A8" t="inlineStr">
        <is>
          <t>CLA-V07</t>
        </is>
      </c>
      <c r="B8" t="inlineStr">
        <is>
          <t>churn</t>
        </is>
      </c>
      <c r="C8" t="inlineStr">
        <is>
          <t>ALL</t>
        </is>
      </c>
      <c r="D8" t="inlineStr">
        <is>
          <t>Monthly churn of users active after month 3</t>
        </is>
      </c>
      <c r="E8" t="inlineStr">
        <is>
          <t>share/month</t>
        </is>
      </c>
      <c r="F8" t="n">
        <v>0.12</v>
      </c>
      <c r="G8" t="n">
        <v>0.08</v>
      </c>
      <c r="H8" t="n">
        <v>0.05</v>
      </c>
      <c r="I8" t="inlineStr">
        <is>
          <t>ASSUMPTION</t>
        </is>
      </c>
      <c r="J8" t="inlineStr"/>
      <c r="K8" t="inlineStr">
        <is>
          <t>No source</t>
        </is>
      </c>
    </row>
    <row r="9">
      <c r="A9" t="inlineStr">
        <is>
          <t>CLA-V08</t>
        </is>
      </c>
      <c r="B9" t="inlineStr">
        <is>
          <t>horizon</t>
        </is>
      </c>
      <c r="C9" t="inlineStr">
        <is>
          <t>ALL</t>
        </is>
      </c>
      <c r="D9" t="inlineStr">
        <is>
          <t>Maximum lifetime counted (no perpetual LTV)</t>
        </is>
      </c>
      <c r="E9" t="inlineStr">
        <is>
          <t>months</t>
        </is>
      </c>
      <c r="F9" t="n">
        <v>36</v>
      </c>
      <c r="G9" t="n">
        <v>36</v>
      </c>
      <c r="H9" t="n">
        <v>36</v>
      </c>
      <c r="I9" t="inlineStr">
        <is>
          <t>ASSUMPTION</t>
        </is>
      </c>
      <c r="J9" t="inlineStr"/>
      <c r="K9" t="inlineStr">
        <is>
          <t>Cap chosen to avoid perpetual LTV</t>
        </is>
      </c>
    </row>
    <row r="10">
      <c r="A10" t="inlineStr">
        <is>
          <t>CLA-V09</t>
        </is>
      </c>
      <c r="B10" t="inlineStr">
        <is>
          <t>orders</t>
        </is>
      </c>
      <c r="C10" t="inlineStr">
        <is>
          <t>ALL</t>
        </is>
      </c>
      <c r="D10" t="inlineStr">
        <is>
          <t>Physical-goods online orders per active user</t>
        </is>
      </c>
      <c r="E10" t="inlineStr">
        <is>
          <t>orders/month</t>
        </is>
      </c>
      <c r="F10" t="n">
        <v>3</v>
      </c>
      <c r="G10" t="n">
        <v>4</v>
      </c>
      <c r="H10" t="n">
        <v>6</v>
      </c>
      <c r="I10" t="inlineStr">
        <is>
          <t>ASSUMPTION</t>
        </is>
      </c>
      <c r="J10" t="inlineStr">
        <is>
          <t>CLA-S020</t>
        </is>
      </c>
      <c r="K10" t="inlineStr">
        <is>
          <t>MIC: JPY 47,300/month per net-shopping household (2025, 2+ person households, includes services); order count not published in sources found</t>
        </is>
      </c>
    </row>
    <row r="11">
      <c r="A11" t="inlineStr">
        <is>
          <t>CLA-V10</t>
        </is>
      </c>
      <c r="B11" t="inlineStr">
        <is>
          <t>emails_per_order</t>
        </is>
      </c>
      <c r="C11" t="inlineStr">
        <is>
          <t>C01</t>
        </is>
      </c>
      <c r="D11" t="inlineStr">
        <is>
          <t>Commerce emails per order (confirm, ship, deliver)</t>
        </is>
      </c>
      <c r="E11" t="inlineStr">
        <is>
          <t>emails/order</t>
        </is>
      </c>
      <c r="F11" t="n">
        <v>3</v>
      </c>
      <c r="G11" t="n">
        <v>3</v>
      </c>
      <c r="H11" t="n">
        <v>3</v>
      </c>
      <c r="I11" t="inlineStr">
        <is>
          <t>ASSUMPTION</t>
        </is>
      </c>
      <c r="J11" t="inlineStr"/>
      <c r="K11" t="inlineStr">
        <is>
          <t>Varies by merchant</t>
        </is>
      </c>
    </row>
    <row r="12">
      <c r="A12" t="inlineStr">
        <is>
          <t>CLA-V11</t>
        </is>
      </c>
      <c r="B12" t="inlineStr">
        <is>
          <t>tok_in_email</t>
        </is>
      </c>
      <c r="C12" t="inlineStr">
        <is>
          <t>C01</t>
        </is>
      </c>
      <c r="D12" t="inlineStr">
        <is>
          <t>Input tokens per parsed email after HTML stripping</t>
        </is>
      </c>
      <c r="E12" t="inlineStr">
        <is>
          <t>tokens</t>
        </is>
      </c>
      <c r="F12" t="n">
        <v>3500</v>
      </c>
      <c r="G12" t="n">
        <v>3000</v>
      </c>
      <c r="H12" t="n">
        <v>2500</v>
      </c>
      <c r="I12" t="inlineStr">
        <is>
          <t>ASSUMPTION</t>
        </is>
      </c>
      <c r="J12" t="inlineStr"/>
      <c r="K12" t="inlineStr">
        <is>
          <t>Not measured</t>
        </is>
      </c>
    </row>
    <row r="13">
      <c r="A13" t="inlineStr">
        <is>
          <t>CLA-V12</t>
        </is>
      </c>
      <c r="B13" t="inlineStr">
        <is>
          <t>tok_out_email</t>
        </is>
      </c>
      <c r="C13" t="inlineStr">
        <is>
          <t>C01</t>
        </is>
      </c>
      <c r="D13" t="inlineStr">
        <is>
          <t>Output tokens per parsed email (structured JSON)</t>
        </is>
      </c>
      <c r="E13" t="inlineStr">
        <is>
          <t>tokens</t>
        </is>
      </c>
      <c r="F13" t="n">
        <v>400</v>
      </c>
      <c r="G13" t="n">
        <v>300</v>
      </c>
      <c r="H13" t="n">
        <v>250</v>
      </c>
      <c r="I13" t="inlineStr">
        <is>
          <t>ASSUMPTION</t>
        </is>
      </c>
      <c r="J13" t="inlineStr"/>
      <c r="K13" t="inlineStr">
        <is>
          <t>Not measured</t>
        </is>
      </c>
    </row>
    <row r="14">
      <c r="A14" t="inlineStr">
        <is>
          <t>CLA-V13</t>
        </is>
      </c>
      <c r="B14" t="inlineStr">
        <is>
          <t>small_in</t>
        </is>
      </c>
      <c r="C14" t="inlineStr">
        <is>
          <t>C01</t>
        </is>
      </c>
      <c r="D14" t="inlineStr">
        <is>
          <t>Small-model input price (Claude Haiku 4.5)</t>
        </is>
      </c>
      <c r="E14" t="inlineStr">
        <is>
          <t>USD per M tokens</t>
        </is>
      </c>
      <c r="F14" t="n">
        <v>1</v>
      </c>
      <c r="G14" t="n">
        <v>1</v>
      </c>
      <c r="H14" t="n">
        <v>1</v>
      </c>
      <c r="I14" t="inlineStr">
        <is>
          <t>FACT</t>
        </is>
      </c>
      <c r="J14" t="inlineStr">
        <is>
          <t>CLA-S091</t>
        </is>
      </c>
      <c r="K14" t="inlineStr">
        <is>
          <t>List price cached 2026-09-25; any comparable small model would do</t>
        </is>
      </c>
    </row>
    <row r="15">
      <c r="A15" t="inlineStr">
        <is>
          <t>CLA-V14</t>
        </is>
      </c>
      <c r="B15" t="inlineStr">
        <is>
          <t>small_out</t>
        </is>
      </c>
      <c r="C15" t="inlineStr">
        <is>
          <t>C01</t>
        </is>
      </c>
      <c r="D15" t="inlineStr">
        <is>
          <t>Small-model output price (Claude Haiku 4.5)</t>
        </is>
      </c>
      <c r="E15" t="inlineStr">
        <is>
          <t>USD per M tokens</t>
        </is>
      </c>
      <c r="F15" t="n">
        <v>5</v>
      </c>
      <c r="G15" t="n">
        <v>5</v>
      </c>
      <c r="H15" t="n">
        <v>5</v>
      </c>
      <c r="I15" t="inlineStr">
        <is>
          <t>FACT</t>
        </is>
      </c>
      <c r="J15" t="inlineStr">
        <is>
          <t>CLA-S091</t>
        </is>
      </c>
      <c r="K15" t="inlineStr">
        <is>
          <t>List price cached 2026-09-25</t>
        </is>
      </c>
    </row>
    <row r="16">
      <c r="A16" t="inlineStr">
        <is>
          <t>CLA-V15</t>
        </is>
      </c>
      <c r="B16" t="inlineStr">
        <is>
          <t>overhead</t>
        </is>
      </c>
      <c r="C16" t="inlineStr">
        <is>
          <t>ALL</t>
        </is>
      </c>
      <c r="D16" t="inlineStr">
        <is>
          <t>Retry / failed-parse / re-validation multiplier on inference</t>
        </is>
      </c>
      <c r="E16" t="inlineStr">
        <is>
          <t>multiplier</t>
        </is>
      </c>
      <c r="F16" t="n">
        <v>1.2</v>
      </c>
      <c r="G16" t="n">
        <v>1.15</v>
      </c>
      <c r="H16" t="n">
        <v>1.1</v>
      </c>
      <c r="I16" t="inlineStr">
        <is>
          <t>ASSUMPTION</t>
        </is>
      </c>
      <c r="J16" t="inlineStr"/>
      <c r="K16" t="inlineStr">
        <is>
          <t>Not measured</t>
        </is>
      </c>
    </row>
    <row r="17">
      <c r="A17" t="inlineStr">
        <is>
          <t>CLA-V16</t>
        </is>
      </c>
      <c r="B17" t="inlineStr">
        <is>
          <t>notif_per_order</t>
        </is>
      </c>
      <c r="C17" t="inlineStr">
        <is>
          <t>C01</t>
        </is>
      </c>
      <c r="D17" t="inlineStr">
        <is>
          <t>User notifications per order</t>
        </is>
      </c>
      <c r="E17" t="inlineStr">
        <is>
          <t>messages/order</t>
        </is>
      </c>
      <c r="F17" t="n">
        <v>2</v>
      </c>
      <c r="G17" t="n">
        <v>2</v>
      </c>
      <c r="H17" t="n">
        <v>2</v>
      </c>
      <c r="I17" t="inlineStr">
        <is>
          <t>ASSUMPTION</t>
        </is>
      </c>
      <c r="J17" t="inlineStr"/>
      <c r="K17" t="inlineStr"/>
    </row>
    <row r="18">
      <c r="A18" t="inlineStr">
        <is>
          <t>CLA-V17</t>
        </is>
      </c>
      <c r="B18" t="inlineStr">
        <is>
          <t>line_share</t>
        </is>
      </c>
      <c r="C18" t="inlineStr">
        <is>
          <t>C01</t>
        </is>
      </c>
      <c r="D18" t="inlineStr">
        <is>
          <t>Share of notifications sent as paid LINE messages (rest via free push)</t>
        </is>
      </c>
      <c r="E18" t="inlineStr">
        <is>
          <t>share</t>
        </is>
      </c>
      <c r="F18" t="n">
        <v>0.5</v>
      </c>
      <c r="G18" t="n">
        <v>0.25</v>
      </c>
      <c r="H18" t="n">
        <v>0</v>
      </c>
      <c r="I18" t="inlineStr">
        <is>
          <t>ASSUMPTION</t>
        </is>
      </c>
      <c r="J18" t="inlineStr">
        <is>
          <t>CLA-S050</t>
        </is>
      </c>
      <c r="K18" t="inlineStr"/>
    </row>
    <row r="19">
      <c r="A19" t="inlineStr">
        <is>
          <t>CLA-V18</t>
        </is>
      </c>
      <c r="B19" t="inlineStr">
        <is>
          <t>line_cost</t>
        </is>
      </c>
      <c r="C19" t="inlineStr">
        <is>
          <t>C01</t>
        </is>
      </c>
      <c r="D19" t="inlineStr">
        <is>
          <t>LINE official account additional message price (&lt;=200k/month)</t>
        </is>
      </c>
      <c r="E19" t="inlineStr">
        <is>
          <t>JPY/message</t>
        </is>
      </c>
      <c r="F19" t="n">
        <v>3</v>
      </c>
      <c r="G19" t="n">
        <v>3</v>
      </c>
      <c r="H19" t="n">
        <v>3</v>
      </c>
      <c r="I19" t="inlineStr">
        <is>
          <t>FACT</t>
        </is>
      </c>
      <c r="J19" t="inlineStr">
        <is>
          <t>CLA-S050</t>
        </is>
      </c>
      <c r="K19" t="inlineStr">
        <is>
          <t>Effective 2026-10-01 per LY Corp notice (search-reported); plan fees ignored</t>
        </is>
      </c>
    </row>
    <row r="20">
      <c r="A20" t="inlineStr">
        <is>
          <t>CLA-V19</t>
        </is>
      </c>
      <c r="B20" t="inlineStr">
        <is>
          <t>hosting</t>
        </is>
      </c>
      <c r="C20" t="inlineStr">
        <is>
          <t>ALL</t>
        </is>
      </c>
      <c r="D20" t="inlineStr">
        <is>
          <t>Variable hosting/storage/monitoring</t>
        </is>
      </c>
      <c r="E20" t="inlineStr">
        <is>
          <t>JPY/active/month</t>
        </is>
      </c>
      <c r="F20" t="n">
        <v>12</v>
      </c>
      <c r="G20" t="n">
        <v>6</v>
      </c>
      <c r="H20" t="n">
        <v>3</v>
      </c>
      <c r="I20" t="inlineStr">
        <is>
          <t>ASSUMPTION</t>
        </is>
      </c>
      <c r="J20" t="inlineStr"/>
      <c r="K20" t="inlineStr">
        <is>
          <t>Not measured</t>
        </is>
      </c>
    </row>
    <row r="21">
      <c r="A21" t="inlineStr">
        <is>
          <t>CLA-V20</t>
        </is>
      </c>
      <c r="B21" t="inlineStr">
        <is>
          <t>support_rate</t>
        </is>
      </c>
      <c r="C21" t="inlineStr">
        <is>
          <t>ALL</t>
        </is>
      </c>
      <c r="D21" t="inlineStr">
        <is>
          <t>Support contacts</t>
        </is>
      </c>
      <c r="E21" t="inlineStr">
        <is>
          <t>contacts/active/month</t>
        </is>
      </c>
      <c r="F21" t="n">
        <v>0.05</v>
      </c>
      <c r="G21" t="n">
        <v>0.03</v>
      </c>
      <c r="H21" t="n">
        <v>0.015</v>
      </c>
      <c r="I21" t="inlineStr">
        <is>
          <t>ASSUMPTION</t>
        </is>
      </c>
      <c r="J21" t="inlineStr"/>
      <c r="K21" t="inlineStr"/>
    </row>
    <row r="22">
      <c r="A22" t="inlineStr">
        <is>
          <t>CLA-V21</t>
        </is>
      </c>
      <c r="B22" t="inlineStr">
        <is>
          <t>support_min</t>
        </is>
      </c>
      <c r="C22" t="inlineStr">
        <is>
          <t>ALL</t>
        </is>
      </c>
      <c r="D22" t="inlineStr">
        <is>
          <t>Minutes per support contact</t>
        </is>
      </c>
      <c r="E22" t="inlineStr">
        <is>
          <t>minutes</t>
        </is>
      </c>
      <c r="F22" t="n">
        <v>12</v>
      </c>
      <c r="G22" t="n">
        <v>8</v>
      </c>
      <c r="H22" t="n">
        <v>6</v>
      </c>
      <c r="I22" t="inlineStr">
        <is>
          <t>ASSUMPTION</t>
        </is>
      </c>
      <c r="J22" t="inlineStr"/>
      <c r="K22" t="inlineStr"/>
    </row>
    <row r="23">
      <c r="A23" t="inlineStr">
        <is>
          <t>CLA-V22</t>
        </is>
      </c>
      <c r="B23" t="inlineStr">
        <is>
          <t>labor_min</t>
        </is>
      </c>
      <c r="C23" t="inlineStr">
        <is>
          <t>ALL</t>
        </is>
      </c>
      <c r="D23" t="inlineStr">
        <is>
          <t>Fully loaded human cost (paid or replacement cost of founder time)</t>
        </is>
      </c>
      <c r="E23" t="inlineStr">
        <is>
          <t>JPY/minute</t>
        </is>
      </c>
      <c r="F23" t="n">
        <v>50</v>
      </c>
      <c r="G23" t="n">
        <v>50</v>
      </c>
      <c r="H23" t="n">
        <v>50</v>
      </c>
      <c r="I23" t="inlineStr">
        <is>
          <t>ASSUMPTION derived from wage postings</t>
        </is>
      </c>
      <c r="J23" t="inlineStr">
        <is>
          <t>CLA-S073</t>
        </is>
      </c>
      <c r="K23" t="inlineStr">
        <is>
          <t>Tokyo CS postings JPY 1,650-1,750/hour x ~1.75 load factor ~= JPY 3,000/hour</t>
        </is>
      </c>
    </row>
    <row r="24">
      <c r="A24" t="inlineStr">
        <is>
          <t>CLA-V23</t>
        </is>
      </c>
      <c r="B24" t="inlineStr">
        <is>
          <t>exc_rate</t>
        </is>
      </c>
      <c r="C24" t="inlineStr">
        <is>
          <t>ALL</t>
        </is>
      </c>
      <c r="D24" t="inlineStr">
        <is>
          <t>Ingestion/handoff exceptions needing human review</t>
        </is>
      </c>
      <c r="E24" t="inlineStr">
        <is>
          <t>exceptions/active/month</t>
        </is>
      </c>
      <c r="F24" t="n">
        <v>0.1</v>
      </c>
      <c r="G24" t="n">
        <v>0.05</v>
      </c>
      <c r="H24" t="n">
        <v>0.02</v>
      </c>
      <c r="I24" t="inlineStr">
        <is>
          <t>ASSUMPTION</t>
        </is>
      </c>
      <c r="J24" t="inlineStr"/>
      <c r="K24" t="inlineStr">
        <is>
          <t>Includes mis-matched packages, wrong item, disputed attribution</t>
        </is>
      </c>
    </row>
    <row r="25">
      <c r="A25" t="inlineStr">
        <is>
          <t>CLA-V24</t>
        </is>
      </c>
      <c r="B25" t="inlineStr">
        <is>
          <t>exc_min</t>
        </is>
      </c>
      <c r="C25" t="inlineStr">
        <is>
          <t>ALL</t>
        </is>
      </c>
      <c r="D25" t="inlineStr">
        <is>
          <t>Minutes per exception</t>
        </is>
      </c>
      <c r="E25" t="inlineStr">
        <is>
          <t>minutes</t>
        </is>
      </c>
      <c r="F25" t="n">
        <v>5</v>
      </c>
      <c r="G25" t="n">
        <v>4</v>
      </c>
      <c r="H25" t="n">
        <v>3</v>
      </c>
      <c r="I25" t="inlineStr">
        <is>
          <t>ASSUMPTION</t>
        </is>
      </c>
      <c r="J25" t="inlineStr"/>
      <c r="K25" t="inlineStr"/>
    </row>
    <row r="26">
      <c r="A26" t="inlineStr">
        <is>
          <t>CLA-V25</t>
        </is>
      </c>
      <c r="B26" t="inlineStr">
        <is>
          <t>coverage</t>
        </is>
      </c>
      <c r="C26" t="inlineStr">
        <is>
          <t>C03</t>
        </is>
      </c>
      <c r="D26" t="inlineStr">
        <is>
          <t>Share of user's orders at merchants with a usable affiliate/handoff path</t>
        </is>
      </c>
      <c r="E26" t="inlineStr">
        <is>
          <t>share</t>
        </is>
      </c>
      <c r="F26" t="n">
        <v>0.6</v>
      </c>
      <c r="G26" t="n">
        <v>0.75</v>
      </c>
      <c r="H26" t="n">
        <v>0.85</v>
      </c>
      <c r="I26" t="inlineStr">
        <is>
          <t>ASSUMPTION</t>
        </is>
      </c>
      <c r="J26" t="inlineStr">
        <is>
          <t>CLA-S030;CLA-S031;CLA-S033</t>
        </is>
      </c>
      <c r="K26" t="inlineStr">
        <is>
          <t>Amazon/Rakuten/Yahoo have affiliate programs; some retailers have none; Amazon Creators API gated by 10 sales/30 days</t>
        </is>
      </c>
    </row>
    <row r="27">
      <c r="A27" t="inlineStr">
        <is>
          <t>CLA-V26</t>
        </is>
      </c>
      <c r="B27" t="inlineStr">
        <is>
          <t>handoff</t>
        </is>
      </c>
      <c r="C27" t="inlineStr">
        <is>
          <t>C03</t>
        </is>
      </c>
      <c r="D27" t="inlineStr">
        <is>
          <t>Share of eligible orders started through the agent</t>
        </is>
      </c>
      <c r="E27" t="inlineStr">
        <is>
          <t>share</t>
        </is>
      </c>
      <c r="F27" t="n">
        <v>0.05</v>
      </c>
      <c r="G27" t="n">
        <v>0.15</v>
      </c>
      <c r="H27" t="n">
        <v>0.3</v>
      </c>
      <c r="I27" t="inlineStr">
        <is>
          <t>ASSUMPTION</t>
        </is>
      </c>
      <c r="J27" t="inlineStr">
        <is>
          <t>CLA-S060</t>
        </is>
      </c>
      <c r="K27" t="inlineStr">
        <is>
          <t>No observed data; Visa JP survey: 27% would not delegate even if accuracy concerns resolved</t>
        </is>
      </c>
    </row>
    <row r="28">
      <c r="A28" t="inlineStr">
        <is>
          <t>CLA-V27</t>
        </is>
      </c>
      <c r="B28" t="inlineStr">
        <is>
          <t>completion</t>
        </is>
      </c>
      <c r="C28" t="inlineStr">
        <is>
          <t>C03</t>
        </is>
      </c>
      <c r="D28" t="inlineStr">
        <is>
          <t>Handoff -&gt; user completes purchase on merchant site</t>
        </is>
      </c>
      <c r="E28" t="inlineStr">
        <is>
          <t>share</t>
        </is>
      </c>
      <c r="F28" t="n">
        <v>0.5</v>
      </c>
      <c r="G28" t="n">
        <v>0.65</v>
      </c>
      <c r="H28" t="n">
        <v>0.8</v>
      </c>
      <c r="I28" t="inlineStr">
        <is>
          <t>ASSUMPTION</t>
        </is>
      </c>
      <c r="J28" t="inlineStr"/>
      <c r="K28" t="inlineStr"/>
    </row>
    <row r="29">
      <c r="A29" t="inlineStr">
        <is>
          <t>CLA-V28</t>
        </is>
      </c>
      <c r="B29" t="inlineStr">
        <is>
          <t>attributable</t>
        </is>
      </c>
      <c r="C29" t="inlineStr">
        <is>
          <t>C03</t>
        </is>
      </c>
      <c r="D29" t="inlineStr">
        <is>
          <t>Completed purchase -&gt; commission credited (cookie survives, no point-site override, eligible category, not cancelled pre-ship)</t>
        </is>
      </c>
      <c r="E29" t="inlineStr">
        <is>
          <t>share</t>
        </is>
      </c>
      <c r="F29" t="n">
        <v>0.5</v>
      </c>
      <c r="G29" t="n">
        <v>0.7</v>
      </c>
      <c r="H29" t="n">
        <v>0.85</v>
      </c>
      <c r="I29" t="inlineStr">
        <is>
          <t>ASSUMPTION</t>
        </is>
      </c>
      <c r="J29" t="inlineStr">
        <is>
          <t>CLA-S032;CLA-S034</t>
        </is>
      </c>
      <c r="K29" t="inlineStr">
        <is>
          <t>Last-click attribution; point sites and rebates can overwrite (Honey precedent)</t>
        </is>
      </c>
    </row>
    <row r="30">
      <c r="A30" t="inlineStr">
        <is>
          <t>CLA-V29</t>
        </is>
      </c>
      <c r="B30" t="inlineStr">
        <is>
          <t>aov</t>
        </is>
      </c>
      <c r="C30" t="inlineStr">
        <is>
          <t>C03</t>
        </is>
      </c>
      <c r="D30" t="inlineStr">
        <is>
          <t>Average order value of agent-referred orders</t>
        </is>
      </c>
      <c r="E30" t="inlineStr">
        <is>
          <t>JPY/order</t>
        </is>
      </c>
      <c r="F30" t="n">
        <v>4000</v>
      </c>
      <c r="G30" t="n">
        <v>5000</v>
      </c>
      <c r="H30" t="n">
        <v>6000</v>
      </c>
      <c r="I30" t="inlineStr">
        <is>
          <t>ASSUMPTION</t>
        </is>
      </c>
      <c r="J30" t="inlineStr"/>
      <c r="K30" t="inlineStr">
        <is>
          <t>No verified JP AOV for this behaviour</t>
        </is>
      </c>
    </row>
    <row r="31">
      <c r="A31" t="inlineStr">
        <is>
          <t>CLA-V30</t>
        </is>
      </c>
      <c r="B31" t="inlineStr">
        <is>
          <t>comm</t>
        </is>
      </c>
      <c r="C31" t="inlineStr">
        <is>
          <t>C03</t>
        </is>
      </c>
      <c r="D31" t="inlineStr">
        <is>
          <t>Blended gross commission rate</t>
        </is>
      </c>
      <c r="E31" t="inlineStr">
        <is>
          <t>share of order value</t>
        </is>
      </c>
      <c r="F31" t="n">
        <v>0.02</v>
      </c>
      <c r="G31" t="n">
        <v>0.03</v>
      </c>
      <c r="H31" t="n">
        <v>0.04</v>
      </c>
      <c r="I31" t="inlineStr">
        <is>
          <t>FACT-RANGE (search-reported)</t>
        </is>
      </c>
      <c r="J31" t="inlineStr">
        <is>
          <t>CLA-S030;CLA-S031</t>
        </is>
      </c>
      <c r="K31" t="inlineStr">
        <is>
          <t>Rakuten 2-4% by genre; Amazon JP category rates ~2-8% (cap removed 2024-08-07); exact current tables not opened</t>
        </is>
      </c>
    </row>
    <row r="32">
      <c r="A32" t="inlineStr">
        <is>
          <t>CLA-V31</t>
        </is>
      </c>
      <c r="B32" t="inlineStr">
        <is>
          <t>clawback</t>
        </is>
      </c>
      <c r="C32" t="inlineStr">
        <is>
          <t>C03</t>
        </is>
      </c>
      <c r="D32" t="inlineStr">
        <is>
          <t>Cancellations/returns reversing commission</t>
        </is>
      </c>
      <c r="E32" t="inlineStr">
        <is>
          <t>share</t>
        </is>
      </c>
      <c r="F32" t="n">
        <v>0.1</v>
      </c>
      <c r="G32" t="n">
        <v>0.07000000000000001</v>
      </c>
      <c r="H32" t="n">
        <v>0.05</v>
      </c>
      <c r="I32" t="inlineStr">
        <is>
          <t>ASSUMPTION</t>
        </is>
      </c>
      <c r="J32" t="inlineStr"/>
      <c r="K32" t="inlineStr"/>
    </row>
    <row r="33">
      <c r="A33" t="inlineStr">
        <is>
          <t>CLA-V32</t>
        </is>
      </c>
      <c r="B33" t="inlineStr">
        <is>
          <t>passthrough</t>
        </is>
      </c>
      <c r="C33" t="inlineStr">
        <is>
          <t>C03</t>
        </is>
      </c>
      <c r="D33" t="inlineStr">
        <is>
          <t>Share of commission returned to the user to compete with point sites/rebates</t>
        </is>
      </c>
      <c r="E33" t="inlineStr">
        <is>
          <t>share</t>
        </is>
      </c>
      <c r="F33" t="n">
        <v>0.4</v>
      </c>
      <c r="G33" t="n">
        <v>0.25</v>
      </c>
      <c r="H33" t="n">
        <v>0.1</v>
      </c>
      <c r="I33" t="inlineStr">
        <is>
          <t>ASSUMPTION</t>
        </is>
      </c>
      <c r="J33" t="inlineStr">
        <is>
          <t>CLA-S035</t>
        </is>
      </c>
      <c r="K33" t="inlineStr">
        <is>
          <t>Rakuten Rebates (10M registered, 1,000+ stores) sets the user's reference point</t>
        </is>
      </c>
    </row>
    <row r="34">
      <c r="A34" t="inlineStr">
        <is>
          <t>CLA-V33</t>
        </is>
      </c>
      <c r="B34" t="inlineStr">
        <is>
          <t>sessions</t>
        </is>
      </c>
      <c r="C34" t="inlineStr">
        <is>
          <t>C03</t>
        </is>
      </c>
      <c r="D34" t="inlineStr">
        <is>
          <t>Shopping-assistance sessions</t>
        </is>
      </c>
      <c r="E34" t="inlineStr">
        <is>
          <t>sessions/active/month</t>
        </is>
      </c>
      <c r="F34" t="n">
        <v>2</v>
      </c>
      <c r="G34" t="n">
        <v>3</v>
      </c>
      <c r="H34" t="n">
        <v>4</v>
      </c>
      <c r="I34" t="inlineStr">
        <is>
          <t>ASSUMPTION</t>
        </is>
      </c>
      <c r="J34" t="inlineStr"/>
      <c r="K34" t="inlineStr"/>
    </row>
    <row r="35">
      <c r="A35" t="inlineStr">
        <is>
          <t>CLA-V34</t>
        </is>
      </c>
      <c r="B35" t="inlineStr">
        <is>
          <t>tok_in_sess</t>
        </is>
      </c>
      <c r="C35" t="inlineStr">
        <is>
          <t>C03</t>
        </is>
      </c>
      <c r="D35" t="inlineStr">
        <is>
          <t>Input tokens per session (catalog results + history)</t>
        </is>
      </c>
      <c r="E35" t="inlineStr">
        <is>
          <t>tokens</t>
        </is>
      </c>
      <c r="F35" t="n">
        <v>20000</v>
      </c>
      <c r="G35" t="n">
        <v>15000</v>
      </c>
      <c r="H35" t="n">
        <v>12000</v>
      </c>
      <c r="I35" t="inlineStr">
        <is>
          <t>ASSUMPTION</t>
        </is>
      </c>
      <c r="J35" t="inlineStr"/>
      <c r="K35" t="inlineStr">
        <is>
          <t>Not measured</t>
        </is>
      </c>
    </row>
    <row r="36">
      <c r="A36" t="inlineStr">
        <is>
          <t>CLA-V35</t>
        </is>
      </c>
      <c r="B36" t="inlineStr">
        <is>
          <t>tok_out_sess</t>
        </is>
      </c>
      <c r="C36" t="inlineStr">
        <is>
          <t>C03</t>
        </is>
      </c>
      <c r="D36" t="inlineStr">
        <is>
          <t>Output tokens per session</t>
        </is>
      </c>
      <c r="E36" t="inlineStr">
        <is>
          <t>tokens</t>
        </is>
      </c>
      <c r="F36" t="n">
        <v>2000</v>
      </c>
      <c r="G36" t="n">
        <v>1500</v>
      </c>
      <c r="H36" t="n">
        <v>1200</v>
      </c>
      <c r="I36" t="inlineStr">
        <is>
          <t>ASSUMPTION</t>
        </is>
      </c>
      <c r="J36" t="inlineStr"/>
      <c r="K36" t="inlineStr">
        <is>
          <t>Not measured</t>
        </is>
      </c>
    </row>
    <row r="37">
      <c r="A37" t="inlineStr">
        <is>
          <t>CLA-V36</t>
        </is>
      </c>
      <c r="B37" t="inlineStr">
        <is>
          <t>mid_in</t>
        </is>
      </c>
      <c r="C37" t="inlineStr">
        <is>
          <t>C03</t>
        </is>
      </c>
      <c r="D37" t="inlineStr">
        <is>
          <t>Mid-tier model input price (Claude Sonnet 5.5)</t>
        </is>
      </c>
      <c r="E37" t="inlineStr">
        <is>
          <t>USD per M tokens</t>
        </is>
      </c>
      <c r="F37" t="n">
        <v>2</v>
      </c>
      <c r="G37" t="n">
        <v>2</v>
      </c>
      <c r="H37" t="n">
        <v>2</v>
      </c>
      <c r="I37" t="inlineStr">
        <is>
          <t>FACT</t>
        </is>
      </c>
      <c r="J37" t="inlineStr">
        <is>
          <t>CLA-S091</t>
        </is>
      </c>
      <c r="K37" t="inlineStr">
        <is>
          <t>List price cached 2026-09-25</t>
        </is>
      </c>
    </row>
    <row r="38">
      <c r="A38" t="inlineStr">
        <is>
          <t>CLA-V37</t>
        </is>
      </c>
      <c r="B38" t="inlineStr">
        <is>
          <t>mid_out</t>
        </is>
      </c>
      <c r="C38" t="inlineStr">
        <is>
          <t>C03</t>
        </is>
      </c>
      <c r="D38" t="inlineStr">
        <is>
          <t>Mid-tier model output price (Claude Sonnet 5.5)</t>
        </is>
      </c>
      <c r="E38" t="inlineStr">
        <is>
          <t>USD per M tokens</t>
        </is>
      </c>
      <c r="F38" t="n">
        <v>10</v>
      </c>
      <c r="G38" t="n">
        <v>10</v>
      </c>
      <c r="H38" t="n">
        <v>10</v>
      </c>
      <c r="I38" t="inlineStr">
        <is>
          <t>FACT</t>
        </is>
      </c>
      <c r="J38" t="inlineStr">
        <is>
          <t>CLA-S091</t>
        </is>
      </c>
      <c r="K38" t="inlineStr">
        <is>
          <t>List price cached 2026-09-25</t>
        </is>
      </c>
    </row>
    <row r="39">
      <c r="A39" t="inlineStr">
        <is>
          <t>CLA-V38</t>
        </is>
      </c>
      <c r="B39" t="inlineStr">
        <is>
          <t>price</t>
        </is>
      </c>
      <c r="C39" t="inlineStr">
        <is>
          <t>SUB</t>
        </is>
      </c>
      <c r="D39" t="inlineStr">
        <is>
          <t>Consumer subscription list price</t>
        </is>
      </c>
      <c r="E39" t="inlineStr">
        <is>
          <t>JPY/month</t>
        </is>
      </c>
      <c r="F39" t="n">
        <v>480</v>
      </c>
      <c r="G39" t="n">
        <v>480</v>
      </c>
      <c r="H39" t="n">
        <v>480</v>
      </c>
      <c r="I39" t="inlineStr">
        <is>
          <t>ASSUMPTION</t>
        </is>
      </c>
      <c r="J39" t="inlineStr"/>
      <c r="K39" t="inlineStr">
        <is>
          <t>No WTP evidence</t>
        </is>
      </c>
    </row>
    <row r="40">
      <c r="A40" t="inlineStr">
        <is>
          <t>CLA-V39</t>
        </is>
      </c>
      <c r="B40" t="inlineStr">
        <is>
          <t>store_fee</t>
        </is>
      </c>
      <c r="C40" t="inlineStr">
        <is>
          <t>SUB</t>
        </is>
      </c>
      <c r="D40" t="inlineStr">
        <is>
          <t>App-store / billing fee</t>
        </is>
      </c>
      <c r="E40" t="inlineStr">
        <is>
          <t>share</t>
        </is>
      </c>
      <c r="F40" t="n">
        <v>0.15</v>
      </c>
      <c r="G40" t="n">
        <v>0.15</v>
      </c>
      <c r="H40" t="n">
        <v>0.15</v>
      </c>
      <c r="I40" t="inlineStr">
        <is>
          <t>ASSUMPTION</t>
        </is>
      </c>
      <c r="J40" t="inlineStr"/>
      <c r="K40" t="inlineStr">
        <is>
          <t>Small-business rate assumed; alternative billing may change it</t>
        </is>
      </c>
    </row>
    <row r="41">
      <c r="A41" t="inlineStr">
        <is>
          <t>CLA-V40</t>
        </is>
      </c>
      <c r="B41" t="inlineStr">
        <is>
          <t>paid_conv</t>
        </is>
      </c>
      <c r="C41" t="inlineStr">
        <is>
          <t>SUB</t>
        </is>
      </c>
      <c r="D41" t="inlineStr">
        <is>
          <t>Active users who pay</t>
        </is>
      </c>
      <c r="E41" t="inlineStr">
        <is>
          <t>share of actives</t>
        </is>
      </c>
      <c r="F41" t="n">
        <v>0.02</v>
      </c>
      <c r="G41" t="n">
        <v>0.05</v>
      </c>
      <c r="H41" t="n">
        <v>0.1</v>
      </c>
      <c r="I41" t="inlineStr">
        <is>
          <t>ASSUMPTION</t>
        </is>
      </c>
      <c r="J41" t="inlineStr"/>
      <c r="K41" t="inlineStr">
        <is>
          <t>No WTP evidence</t>
        </is>
      </c>
    </row>
    <row r="42">
      <c r="A42" t="inlineStr">
        <is>
          <t>CLA-V41</t>
        </is>
      </c>
      <c r="B42" t="inlineStr">
        <is>
          <t>paid_exc_rate</t>
        </is>
      </c>
      <c r="C42" t="inlineStr">
        <is>
          <t>SUB</t>
        </is>
      </c>
      <c r="D42" t="inlineStr">
        <is>
          <t>Human-handled exception cases per paying user (missing parcel, refund chase)</t>
        </is>
      </c>
      <c r="E42" t="inlineStr">
        <is>
          <t>cases/paid user/month</t>
        </is>
      </c>
      <c r="F42" t="n">
        <v>0.3</v>
      </c>
      <c r="G42" t="n">
        <v>0.2</v>
      </c>
      <c r="H42" t="n">
        <v>0.1</v>
      </c>
      <c r="I42" t="inlineStr">
        <is>
          <t>ASSUMPTION</t>
        </is>
      </c>
      <c r="J42" t="inlineStr"/>
      <c r="K42" t="inlineStr"/>
    </row>
    <row r="43">
      <c r="A43" t="inlineStr">
        <is>
          <t>CLA-V42</t>
        </is>
      </c>
      <c r="B43" t="inlineStr">
        <is>
          <t>paid_exc_min</t>
        </is>
      </c>
      <c r="C43" t="inlineStr">
        <is>
          <t>SUB</t>
        </is>
      </c>
      <c r="D43" t="inlineStr">
        <is>
          <t>Minutes per paid exception case</t>
        </is>
      </c>
      <c r="E43" t="inlineStr">
        <is>
          <t>minutes</t>
        </is>
      </c>
      <c r="F43" t="n">
        <v>20</v>
      </c>
      <c r="G43" t="n">
        <v>15</v>
      </c>
      <c r="H43" t="n">
        <v>10</v>
      </c>
      <c r="I43" t="inlineStr">
        <is>
          <t>ASSUMPTION</t>
        </is>
      </c>
      <c r="J43" t="inlineStr"/>
      <c r="K43" t="inlineStr"/>
    </row>
    <row r="44">
      <c r="A44" t="inlineStr">
        <is>
          <t>CLA-V43</t>
        </is>
      </c>
      <c r="B44" t="inlineStr">
        <is>
          <t>b2b2c_fee</t>
        </is>
      </c>
      <c r="C44" t="inlineStr">
        <is>
          <t>C07</t>
        </is>
      </c>
      <c r="D44" t="inlineStr">
        <is>
          <t>Partner fee per monthly active user</t>
        </is>
      </c>
      <c r="E44" t="inlineStr">
        <is>
          <t>JPY/MAU/month</t>
        </is>
      </c>
      <c r="F44" t="n">
        <v>20</v>
      </c>
      <c r="G44" t="n">
        <v>40</v>
      </c>
      <c r="H44" t="n">
        <v>80</v>
      </c>
      <c r="I44" t="inlineStr">
        <is>
          <t>ASSUMPTION</t>
        </is>
      </c>
      <c r="J44" t="inlineStr"/>
      <c r="K44" t="inlineStr">
        <is>
          <t>No benchmark found; must be tested with partners</t>
        </is>
      </c>
    </row>
    <row r="45">
      <c r="A45" t="inlineStr">
        <is>
          <t>CLA-V44</t>
        </is>
      </c>
      <c r="B45" t="inlineStr">
        <is>
          <t>partner_support_share</t>
        </is>
      </c>
      <c r="C45" t="inlineStr">
        <is>
          <t>C07</t>
        </is>
      </c>
      <c r="D45" t="inlineStr">
        <is>
          <t>Share of support absorbed by partner</t>
        </is>
      </c>
      <c r="E45" t="inlineStr">
        <is>
          <t>share</t>
        </is>
      </c>
      <c r="F45" t="n">
        <v>0.5</v>
      </c>
      <c r="G45" t="n">
        <v>0.5</v>
      </c>
      <c r="H45" t="n">
        <v>0.5</v>
      </c>
      <c r="I45" t="inlineStr">
        <is>
          <t>ASSUMPTION</t>
        </is>
      </c>
      <c r="J45" t="inlineStr"/>
      <c r="K45" t="inlineStr"/>
    </row>
    <row r="46">
      <c r="A46" t="inlineStr">
        <is>
          <t>CLA-V45</t>
        </is>
      </c>
      <c r="B46" t="inlineStr">
        <is>
          <t>team_fixed</t>
        </is>
      </c>
      <c r="C46" t="inlineStr">
        <is>
          <t>ALL</t>
        </is>
      </c>
      <c r="D46" t="inlineStr">
        <is>
          <t>Minimum team at replacement cost (2 engineers + 1 ops/support lead), not in contribution</t>
        </is>
      </c>
      <c r="E46" t="inlineStr">
        <is>
          <t>JPY/month</t>
        </is>
      </c>
      <c r="F46" t="n">
        <v>3000000</v>
      </c>
      <c r="G46" t="n">
        <v>3000000</v>
      </c>
      <c r="H46" t="n">
        <v>3000000</v>
      </c>
      <c r="I46" t="inlineStr">
        <is>
          <t>ASSUMPTION</t>
        </is>
      </c>
      <c r="J46" t="inlineStr"/>
      <c r="K46" t="inlineStr">
        <is>
          <t>Used only for break-even scale</t>
        </is>
      </c>
    </row>
    <row r="47">
      <c r="A47" t="inlineStr">
        <is>
          <t>CLA-V46</t>
        </is>
      </c>
      <c r="B47" t="inlineStr">
        <is>
          <t>casa_usd</t>
        </is>
      </c>
      <c r="C47" t="inlineStr">
        <is>
          <t>C01</t>
        </is>
      </c>
      <c r="D47" t="inlineStr">
        <is>
          <t>Annual Gmail restricted-scope CASA Tier 2 assessment (self-serve lab)</t>
        </is>
      </c>
      <c r="E47" t="inlineStr">
        <is>
          <t>USD/year</t>
        </is>
      </c>
      <c r="F47" t="n">
        <v>720</v>
      </c>
      <c r="G47" t="n">
        <v>540</v>
      </c>
      <c r="H47" t="n">
        <v>540</v>
      </c>
      <c r="I47" t="inlineStr">
        <is>
          <t>FACT</t>
        </is>
      </c>
      <c r="J47" t="inlineStr">
        <is>
          <t>CLA-S011</t>
        </is>
      </c>
      <c r="K47" t="inlineStr">
        <is>
          <t>TAC Security list prices; excludes engineering remediation time; legacy track cited at USD 15k-75k</t>
        </is>
      </c>
    </row>
    <row r="48">
      <c r="A48" t="inlineStr">
        <is>
          <t>CLA-V47</t>
        </is>
      </c>
      <c r="B48" t="inlineStr">
        <is>
          <t>households</t>
        </is>
      </c>
      <c r="C48" t="inlineStr">
        <is>
          <t>MKT</t>
        </is>
      </c>
      <c r="D48" t="inlineStr">
        <is>
          <t>Japanese households</t>
        </is>
      </c>
      <c r="E48" t="inlineStr">
        <is>
          <t>households</t>
        </is>
      </c>
      <c r="F48" t="n">
        <v>55700000</v>
      </c>
      <c r="G48" t="n">
        <v>55700000</v>
      </c>
      <c r="H48" t="n">
        <v>55700000</v>
      </c>
      <c r="I48" t="inlineStr">
        <is>
          <t>ASSUMPTION (2020 census figure not re-verified in this run)</t>
        </is>
      </c>
      <c r="J48" t="inlineStr"/>
      <c r="K48" t="inlineStr">
        <is>
          <t>Verify against latest census/estimates</t>
        </is>
      </c>
    </row>
    <row r="49">
      <c r="A49" t="inlineStr">
        <is>
          <t>CLA-V48</t>
        </is>
      </c>
      <c r="B49" t="inlineStr">
        <is>
          <t>netshop_share</t>
        </is>
      </c>
      <c r="C49" t="inlineStr">
        <is>
          <t>MKT</t>
        </is>
      </c>
      <c r="D49" t="inlineStr">
        <is>
          <t>Households using net shopping</t>
        </is>
      </c>
      <c r="E49" t="inlineStr">
        <is>
          <t>share</t>
        </is>
      </c>
      <c r="F49" t="n">
        <v>0.569</v>
      </c>
      <c r="G49" t="n">
        <v>0.569</v>
      </c>
      <c r="H49" t="n">
        <v>0.569</v>
      </c>
      <c r="I49" t="inlineStr">
        <is>
          <t>FACT (scope: 2+ person households, 2025)</t>
        </is>
      </c>
      <c r="J49" t="inlineStr">
        <is>
          <t>CLA-S020</t>
        </is>
      </c>
      <c r="K49" t="inlineStr">
        <is>
          <t>Applied to all households as an approximation</t>
        </is>
      </c>
    </row>
    <row r="50">
      <c r="A50" t="inlineStr">
        <is>
          <t>CLA-V49</t>
        </is>
      </c>
      <c r="B50" t="inlineStr">
        <is>
          <t>heavy_share</t>
        </is>
      </c>
      <c r="C50" t="inlineStr">
        <is>
          <t>MKT</t>
        </is>
      </c>
      <c r="D50" t="inlineStr">
        <is>
          <t>Net-shopping households that are heavy multi-merchant buyers (&gt;=3 merchants, &gt;=4 orders/month)</t>
        </is>
      </c>
      <c r="E50" t="inlineStr">
        <is>
          <t>share</t>
        </is>
      </c>
      <c r="F50" t="n">
        <v>0.05</v>
      </c>
      <c r="G50" t="n">
        <v>0.1</v>
      </c>
      <c r="H50" t="n">
        <v>0.2</v>
      </c>
      <c r="I50" t="inlineStr">
        <is>
          <t>ASSUMPTION</t>
        </is>
      </c>
      <c r="J50" t="inlineStr"/>
      <c r="K50" t="inlineStr">
        <is>
          <t>No statistic found</t>
        </is>
      </c>
    </row>
    <row r="51">
      <c r="A51" t="inlineStr">
        <is>
          <t>CLA-V50</t>
        </is>
      </c>
      <c r="B51" t="inlineStr">
        <is>
          <t>adoption</t>
        </is>
      </c>
      <c r="C51" t="inlineStr">
        <is>
          <t>MKT</t>
        </is>
      </c>
      <c r="D51" t="inlineStr">
        <is>
          <t>Eligible households reached and retained as actives</t>
        </is>
      </c>
      <c r="E51" t="inlineStr">
        <is>
          <t>share</t>
        </is>
      </c>
      <c r="F51" t="n">
        <v>0.01</v>
      </c>
      <c r="G51" t="n">
        <v>0.03</v>
      </c>
      <c r="H51" t="n">
        <v>0.1</v>
      </c>
      <c r="I51" t="inlineStr">
        <is>
          <t>ASSUMPTION</t>
        </is>
      </c>
      <c r="J51" t="inlineStr"/>
      <c r="K51" t="inlineStr">
        <is>
          <t>No statistic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70" customWidth="1" min="4" max="4"/>
    <col width="22" customWidth="1" min="5" max="5"/>
    <col width="13" customWidth="1" min="6" max="6"/>
    <col width="13" customWidth="1" min="7" max="7"/>
    <col width="13" customWidth="1" min="8" max="8"/>
    <col width="30" customWidth="1" min="9" max="9"/>
    <col width="22" customWidth="1" min="10" max="10"/>
    <col width="50" customWidth="1" min="11" max="11"/>
  </cols>
  <sheetData>
    <row r="1">
      <c r="A1" s="1" t="inlineStr">
        <is>
          <t>output_id</t>
        </is>
      </c>
      <c r="B1" s="1" t="inlineStr">
        <is>
          <t>key</t>
        </is>
      </c>
      <c r="C1" s="1" t="inlineStr">
        <is>
          <t>concept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downside</t>
        </is>
      </c>
      <c r="G1" s="1" t="inlineStr">
        <is>
          <t>base</t>
        </is>
      </c>
      <c r="H1" s="1" t="inlineStr">
        <is>
          <t>upside</t>
        </is>
      </c>
      <c r="I1" s="1" t="inlineStr">
        <is>
          <t>formula</t>
        </is>
      </c>
    </row>
    <row r="2">
      <c r="A2" t="inlineStr">
        <is>
          <t>CLA-O01</t>
        </is>
      </c>
      <c r="B2" t="inlineStr">
        <is>
          <t>cost_per_email</t>
        </is>
      </c>
      <c r="C2" t="inlineStr">
        <is>
          <t>C01</t>
        </is>
      </c>
      <c r="D2" t="inlineStr">
        <is>
          <t>Inference cost per parsed commerce email</t>
        </is>
      </c>
      <c r="E2" t="inlineStr">
        <is>
          <t>JPY/email</t>
        </is>
      </c>
      <c r="F2">
        <f>(Inputs!F12*Inputs!F14+Inputs!F13*Inputs!F15)/1000000*Inputs!F2*Inputs!F16</f>
        <v/>
      </c>
      <c r="G2">
        <f>(Inputs!G12*Inputs!G14+Inputs!G13*Inputs!G15)/1000000*Inputs!G2*Inputs!G16</f>
        <v/>
      </c>
      <c r="H2">
        <f>(Inputs!H12*Inputs!H14+Inputs!H13*Inputs!H15)/1000000*Inputs!H2*Inputs!H16</f>
        <v/>
      </c>
      <c r="I2" t="inlineStr">
        <is>
          <t>(tok_in_email*small_in+tok_out_email*small_out)/1000000*fx*overhead</t>
        </is>
      </c>
    </row>
    <row r="3">
      <c r="A3" t="inlineStr">
        <is>
          <t>CLA-O02</t>
        </is>
      </c>
      <c r="B3" t="inlineStr">
        <is>
          <t>inf_track</t>
        </is>
      </c>
      <c r="C3" t="inlineStr">
        <is>
          <t>C01</t>
        </is>
      </c>
      <c r="D3" t="inlineStr">
        <is>
          <t>Tracking inference cost</t>
        </is>
      </c>
      <c r="E3" t="inlineStr">
        <is>
          <t>JPY/active/month</t>
        </is>
      </c>
      <c r="F3">
        <f>Inputs!F10*Inputs!F11*F2</f>
        <v/>
      </c>
      <c r="G3">
        <f>Inputs!G10*Inputs!G11*G2</f>
        <v/>
      </c>
      <c r="H3">
        <f>Inputs!H10*Inputs!H11*H2</f>
        <v/>
      </c>
      <c r="I3" t="inlineStr">
        <is>
          <t>orders*emails_per_order*cost_per_email</t>
        </is>
      </c>
    </row>
    <row r="4">
      <c r="A4" t="inlineStr">
        <is>
          <t>CLA-O03</t>
        </is>
      </c>
      <c r="B4" t="inlineStr">
        <is>
          <t>notif</t>
        </is>
      </c>
      <c r="C4" t="inlineStr">
        <is>
          <t>C01</t>
        </is>
      </c>
      <c r="D4" t="inlineStr">
        <is>
          <t>Notification cost</t>
        </is>
      </c>
      <c r="E4" t="inlineStr">
        <is>
          <t>JPY/active/month</t>
        </is>
      </c>
      <c r="F4">
        <f>Inputs!F10*Inputs!F17*Inputs!F18*Inputs!F19</f>
        <v/>
      </c>
      <c r="G4">
        <f>Inputs!G10*Inputs!G17*Inputs!G18*Inputs!G19</f>
        <v/>
      </c>
      <c r="H4">
        <f>Inputs!H10*Inputs!H17*Inputs!H18*Inputs!H19</f>
        <v/>
      </c>
      <c r="I4" t="inlineStr">
        <is>
          <t>orders*notif_per_order*line_share*line_cost</t>
        </is>
      </c>
    </row>
    <row r="5">
      <c r="A5" t="inlineStr">
        <is>
          <t>CLA-O04</t>
        </is>
      </c>
      <c r="B5" t="inlineStr">
        <is>
          <t>support</t>
        </is>
      </c>
      <c r="C5" t="inlineStr">
        <is>
          <t>ALL</t>
        </is>
      </c>
      <c r="D5" t="inlineStr">
        <is>
          <t>Human support cost</t>
        </is>
      </c>
      <c r="E5" t="inlineStr">
        <is>
          <t>JPY/active/month</t>
        </is>
      </c>
      <c r="F5">
        <f>Inputs!F21*Inputs!F22*Inputs!F23</f>
        <v/>
      </c>
      <c r="G5">
        <f>Inputs!G21*Inputs!G22*Inputs!G23</f>
        <v/>
      </c>
      <c r="H5">
        <f>Inputs!H21*Inputs!H22*Inputs!H23</f>
        <v/>
      </c>
      <c r="I5" t="inlineStr">
        <is>
          <t>support_rate*support_min*labor_min</t>
        </is>
      </c>
    </row>
    <row r="6">
      <c r="A6" t="inlineStr">
        <is>
          <t>CLA-O05</t>
        </is>
      </c>
      <c r="B6" t="inlineStr">
        <is>
          <t>recovery</t>
        </is>
      </c>
      <c r="C6" t="inlineStr">
        <is>
          <t>ALL</t>
        </is>
      </c>
      <c r="D6" t="inlineStr">
        <is>
          <t>Human exception/recovery cost</t>
        </is>
      </c>
      <c r="E6" t="inlineStr">
        <is>
          <t>JPY/active/month</t>
        </is>
      </c>
      <c r="F6">
        <f>Inputs!F24*Inputs!F25*Inputs!F23</f>
        <v/>
      </c>
      <c r="G6">
        <f>Inputs!G24*Inputs!G25*Inputs!G23</f>
        <v/>
      </c>
      <c r="H6">
        <f>Inputs!H24*Inputs!H25*Inputs!H23</f>
        <v/>
      </c>
      <c r="I6" t="inlineStr">
        <is>
          <t>exc_rate*exc_min*labor_min</t>
        </is>
      </c>
    </row>
    <row r="7">
      <c r="A7" t="inlineStr">
        <is>
          <t>CLA-O06</t>
        </is>
      </c>
      <c r="B7" t="inlineStr">
        <is>
          <t>m1_cost</t>
        </is>
      </c>
      <c r="C7" t="inlineStr">
        <is>
          <t>C01</t>
        </is>
      </c>
      <c r="D7" t="inlineStr">
        <is>
          <t>Tracking-only variable cost</t>
        </is>
      </c>
      <c r="E7" t="inlineStr">
        <is>
          <t>JPY/active/month</t>
        </is>
      </c>
      <c r="F7">
        <f>F3+F4+Inputs!F20+F5+F6</f>
        <v/>
      </c>
      <c r="G7">
        <f>G3+G4+Inputs!G20+G5+G6</f>
        <v/>
      </c>
      <c r="H7">
        <f>H3+H4+Inputs!H20+H5+H6</f>
        <v/>
      </c>
      <c r="I7" t="inlineStr">
        <is>
          <t>inf_track+notif+hosting+support+recovery</t>
        </is>
      </c>
    </row>
    <row r="8">
      <c r="A8" t="inlineStr">
        <is>
          <t>CLA-O07</t>
        </is>
      </c>
      <c r="B8" t="inlineStr">
        <is>
          <t>m1_contrib</t>
        </is>
      </c>
      <c r="C8" t="inlineStr">
        <is>
          <t>C01</t>
        </is>
      </c>
      <c r="D8" t="inlineStr">
        <is>
          <t>Tracking-only contribution (no revenue; past orders are not attributable)</t>
        </is>
      </c>
      <c r="E8" t="inlineStr">
        <is>
          <t>JPY/active/month</t>
        </is>
      </c>
      <c r="F8">
        <f>-F7</f>
        <v/>
      </c>
      <c r="G8">
        <f>-G7</f>
        <v/>
      </c>
      <c r="H8">
        <f>-H7</f>
        <v/>
      </c>
      <c r="I8" t="inlineStr">
        <is>
          <t>-m1_cost</t>
        </is>
      </c>
    </row>
    <row r="9">
      <c r="A9" t="inlineStr">
        <is>
          <t>CLA-O08</t>
        </is>
      </c>
      <c r="B9" t="inlineStr">
        <is>
          <t>attr_orders</t>
        </is>
      </c>
      <c r="C9" t="inlineStr">
        <is>
          <t>C03</t>
        </is>
      </c>
      <c r="D9" t="inlineStr">
        <is>
          <t>Successful attributable orders</t>
        </is>
      </c>
      <c r="E9" t="inlineStr">
        <is>
          <t>orders/active/month</t>
        </is>
      </c>
      <c r="F9">
        <f>Inputs!F10*Inputs!F26*Inputs!F27*Inputs!F28*Inputs!F29</f>
        <v/>
      </c>
      <c r="G9">
        <f>Inputs!G10*Inputs!G26*Inputs!G27*Inputs!G28*Inputs!G29</f>
        <v/>
      </c>
      <c r="H9">
        <f>Inputs!H10*Inputs!H26*Inputs!H27*Inputs!H28*Inputs!H29</f>
        <v/>
      </c>
      <c r="I9" t="inlineStr">
        <is>
          <t>orders*coverage*handoff*completion*attributable</t>
        </is>
      </c>
    </row>
    <row r="10">
      <c r="A10" t="inlineStr">
        <is>
          <t>CLA-O09</t>
        </is>
      </c>
      <c r="B10" t="inlineStr">
        <is>
          <t>net_rev_order</t>
        </is>
      </c>
      <c r="C10" t="inlineStr">
        <is>
          <t>C03</t>
        </is>
      </c>
      <c r="D10" t="inlineStr">
        <is>
          <t>Net realised revenue per attributable order (after clawback and pass-through, each applied once)</t>
        </is>
      </c>
      <c r="E10" t="inlineStr">
        <is>
          <t>JPY/order</t>
        </is>
      </c>
      <c r="F10">
        <f>Inputs!F30*Inputs!F31*(1-Inputs!F32)*(1-Inputs!F33)</f>
        <v/>
      </c>
      <c r="G10">
        <f>Inputs!G30*Inputs!G31*(1-Inputs!G32)*(1-Inputs!G33)</f>
        <v/>
      </c>
      <c r="H10">
        <f>Inputs!H30*Inputs!H31*(1-Inputs!H32)*(1-Inputs!H33)</f>
        <v/>
      </c>
      <c r="I10" t="inlineStr">
        <is>
          <t>aov*comm*(1-clawback)*(1-passthrough)</t>
        </is>
      </c>
    </row>
    <row r="11">
      <c r="A11" t="inlineStr">
        <is>
          <t>CLA-O10</t>
        </is>
      </c>
      <c r="B11" t="inlineStr">
        <is>
          <t>m2_rev</t>
        </is>
      </c>
      <c r="C11" t="inlineStr">
        <is>
          <t>C03</t>
        </is>
      </c>
      <c r="D11" t="inlineStr">
        <is>
          <t>Affiliate revenue</t>
        </is>
      </c>
      <c r="E11" t="inlineStr">
        <is>
          <t>JPY/active/month</t>
        </is>
      </c>
      <c r="F11">
        <f>F9*F10</f>
        <v/>
      </c>
      <c r="G11">
        <f>G9*G10</f>
        <v/>
      </c>
      <c r="H11">
        <f>H9*H10</f>
        <v/>
      </c>
      <c r="I11" t="inlineStr">
        <is>
          <t>attr_orders*net_rev_order</t>
        </is>
      </c>
    </row>
    <row r="12">
      <c r="A12" t="inlineStr">
        <is>
          <t>CLA-O11</t>
        </is>
      </c>
      <c r="B12" t="inlineStr">
        <is>
          <t>cost_per_session</t>
        </is>
      </c>
      <c r="C12" t="inlineStr">
        <is>
          <t>C03</t>
        </is>
      </c>
      <c r="D12" t="inlineStr">
        <is>
          <t>Inference cost per shopping session</t>
        </is>
      </c>
      <c r="E12" t="inlineStr">
        <is>
          <t>JPY/session</t>
        </is>
      </c>
      <c r="F12">
        <f>(Inputs!F35*Inputs!F37+Inputs!F36*Inputs!F38)/1000000*Inputs!F2*Inputs!F16</f>
        <v/>
      </c>
      <c r="G12">
        <f>(Inputs!G35*Inputs!G37+Inputs!G36*Inputs!G38)/1000000*Inputs!G2*Inputs!G16</f>
        <v/>
      </c>
      <c r="H12">
        <f>(Inputs!H35*Inputs!H37+Inputs!H36*Inputs!H38)/1000000*Inputs!H2*Inputs!H16</f>
        <v/>
      </c>
      <c r="I12" t="inlineStr">
        <is>
          <t>(tok_in_sess*mid_in+tok_out_sess*mid_out)/1000000*fx*overhead</t>
        </is>
      </c>
    </row>
    <row r="13">
      <c r="A13" t="inlineStr">
        <is>
          <t>CLA-O12</t>
        </is>
      </c>
      <c r="B13" t="inlineStr">
        <is>
          <t>inf_shop</t>
        </is>
      </c>
      <c r="C13" t="inlineStr">
        <is>
          <t>C03</t>
        </is>
      </c>
      <c r="D13" t="inlineStr">
        <is>
          <t>Shopping-session inference cost</t>
        </is>
      </c>
      <c r="E13" t="inlineStr">
        <is>
          <t>JPY/active/month</t>
        </is>
      </c>
      <c r="F13">
        <f>Inputs!F34*F12</f>
        <v/>
      </c>
      <c r="G13">
        <f>Inputs!G34*G12</f>
        <v/>
      </c>
      <c r="H13">
        <f>Inputs!H34*H12</f>
        <v/>
      </c>
      <c r="I13" t="inlineStr">
        <is>
          <t>sessions*cost_per_session</t>
        </is>
      </c>
    </row>
    <row r="14">
      <c r="A14" t="inlineStr">
        <is>
          <t>CLA-O13</t>
        </is>
      </c>
      <c r="B14" t="inlineStr">
        <is>
          <t>m2_cost</t>
        </is>
      </c>
      <c r="C14" t="inlineStr">
        <is>
          <t>C03</t>
        </is>
      </c>
      <c r="D14" t="inlineStr">
        <is>
          <t>Affiliate-handoff assistant variable cost</t>
        </is>
      </c>
      <c r="E14" t="inlineStr">
        <is>
          <t>JPY/active/month</t>
        </is>
      </c>
      <c r="F14">
        <f>F13+Inputs!F20+F5+F6</f>
        <v/>
      </c>
      <c r="G14">
        <f>G13+Inputs!G20+G5+G6</f>
        <v/>
      </c>
      <c r="H14">
        <f>H13+Inputs!H20+H5+H6</f>
        <v/>
      </c>
      <c r="I14" t="inlineStr">
        <is>
          <t>inf_shop+hosting+support+recovery</t>
        </is>
      </c>
    </row>
    <row r="15">
      <c r="A15" t="inlineStr">
        <is>
          <t>CLA-O14</t>
        </is>
      </c>
      <c r="B15" t="inlineStr">
        <is>
          <t>m2_contrib</t>
        </is>
      </c>
      <c r="C15" t="inlineStr">
        <is>
          <t>C03</t>
        </is>
      </c>
      <c r="D15" t="inlineStr">
        <is>
          <t>Affiliate-handoff assistant contribution</t>
        </is>
      </c>
      <c r="E15" t="inlineStr">
        <is>
          <t>JPY/active/month</t>
        </is>
      </c>
      <c r="F15">
        <f>F11-F14</f>
        <v/>
      </c>
      <c r="G15">
        <f>G11-G14</f>
        <v/>
      </c>
      <c r="H15">
        <f>H11-H14</f>
        <v/>
      </c>
      <c r="I15" t="inlineStr">
        <is>
          <t>m2_rev-m2_cost</t>
        </is>
      </c>
    </row>
    <row r="16">
      <c r="A16" t="inlineStr">
        <is>
          <t>CLA-O15</t>
        </is>
      </c>
      <c r="B16" t="inlineStr">
        <is>
          <t>combo_contrib</t>
        </is>
      </c>
      <c r="C16" t="inlineStr">
        <is>
          <t>C01+C03</t>
        </is>
      </c>
      <c r="D16" t="inlineStr">
        <is>
          <t>Tracking + handoff combined contribution (shared hosting/support counted once)</t>
        </is>
      </c>
      <c r="E16" t="inlineStr">
        <is>
          <t>JPY/active/month</t>
        </is>
      </c>
      <c r="F16">
        <f>F11-(F7+F13)</f>
        <v/>
      </c>
      <c r="G16">
        <f>G11-(G7+G13)</f>
        <v/>
      </c>
      <c r="H16">
        <f>H11-(H7+H13)</f>
        <v/>
      </c>
      <c r="I16" t="inlineStr">
        <is>
          <t>m2_rev-(m1_cost+inf_shop)</t>
        </is>
      </c>
    </row>
    <row r="17">
      <c r="A17" t="inlineStr">
        <is>
          <t>CLA-O16</t>
        </is>
      </c>
      <c r="B17" t="inlineStr">
        <is>
          <t>net_price</t>
        </is>
      </c>
      <c r="C17" t="inlineStr">
        <is>
          <t>SUB</t>
        </is>
      </c>
      <c r="D17" t="inlineStr">
        <is>
          <t>Net subscription revenue per payer</t>
        </is>
      </c>
      <c r="E17" t="inlineStr">
        <is>
          <t>JPY/payer/month</t>
        </is>
      </c>
      <c r="F17">
        <f>Inputs!F39*(1-Inputs!F40)</f>
        <v/>
      </c>
      <c r="G17">
        <f>Inputs!G39*(1-Inputs!G40)</f>
        <v/>
      </c>
      <c r="H17">
        <f>Inputs!H39*(1-Inputs!H40)</f>
        <v/>
      </c>
      <c r="I17" t="inlineStr">
        <is>
          <t>price*(1-store_fee)</t>
        </is>
      </c>
    </row>
    <row r="18">
      <c r="A18" t="inlineStr">
        <is>
          <t>CLA-O17</t>
        </is>
      </c>
      <c r="B18" t="inlineStr">
        <is>
          <t>paid_exc_cost</t>
        </is>
      </c>
      <c r="C18" t="inlineStr">
        <is>
          <t>SUB</t>
        </is>
      </c>
      <c r="D18" t="inlineStr">
        <is>
          <t>Human exception handling cost per payer</t>
        </is>
      </c>
      <c r="E18" t="inlineStr">
        <is>
          <t>JPY/payer/month</t>
        </is>
      </c>
      <c r="F18">
        <f>Inputs!F42*Inputs!F43*Inputs!F23</f>
        <v/>
      </c>
      <c r="G18">
        <f>Inputs!G42*Inputs!G43*Inputs!G23</f>
        <v/>
      </c>
      <c r="H18">
        <f>Inputs!H42*Inputs!H43*Inputs!H23</f>
        <v/>
      </c>
      <c r="I18" t="inlineStr">
        <is>
          <t>paid_exc_rate*paid_exc_min*labor_min</t>
        </is>
      </c>
    </row>
    <row r="19">
      <c r="A19" t="inlineStr">
        <is>
          <t>CLA-O18</t>
        </is>
      </c>
      <c r="B19" t="inlineStr">
        <is>
          <t>m3_contrib</t>
        </is>
      </c>
      <c r="C19" t="inlineStr">
        <is>
          <t>SUB</t>
        </is>
      </c>
      <c r="D19" t="inlineStr">
        <is>
          <t>Freemium subscription contribution (all actives incur tracking cost)</t>
        </is>
      </c>
      <c r="E19" t="inlineStr">
        <is>
          <t>JPY/active/month</t>
        </is>
      </c>
      <c r="F19">
        <f>Inputs!F41*(F17-F18)-F7</f>
        <v/>
      </c>
      <c r="G19">
        <f>Inputs!G41*(G17-G18)-G7</f>
        <v/>
      </c>
      <c r="H19">
        <f>Inputs!H41*(H17-H18)-H7</f>
        <v/>
      </c>
      <c r="I19" t="inlineStr">
        <is>
          <t>paid_conv*(net_price-paid_exc_cost)-m1_cost</t>
        </is>
      </c>
    </row>
    <row r="20">
      <c r="A20" t="inlineStr">
        <is>
          <t>CLA-O19</t>
        </is>
      </c>
      <c r="B20" t="inlineStr">
        <is>
          <t>m4_cost</t>
        </is>
      </c>
      <c r="C20" t="inlineStr">
        <is>
          <t>C07</t>
        </is>
      </c>
      <c r="D20" t="inlineStr">
        <is>
          <t>B2B2C variable cost (no notification cost; partner absorbs part of support)</t>
        </is>
      </c>
      <c r="E20" t="inlineStr">
        <is>
          <t>JPY/MAU/month</t>
        </is>
      </c>
      <c r="F20">
        <f>F3+Inputs!F20+F5*(1-Inputs!F45)+F6</f>
        <v/>
      </c>
      <c r="G20">
        <f>G3+Inputs!G20+G5*(1-Inputs!G45)+G6</f>
        <v/>
      </c>
      <c r="H20">
        <f>H3+Inputs!H20+H5*(1-Inputs!H45)+H6</f>
        <v/>
      </c>
      <c r="I20" t="inlineStr">
        <is>
          <t>inf_track+hosting+support*(1-partner_support_share)+recovery</t>
        </is>
      </c>
    </row>
    <row r="21">
      <c r="A21" t="inlineStr">
        <is>
          <t>CLA-O20</t>
        </is>
      </c>
      <c r="B21" t="inlineStr">
        <is>
          <t>m4_contrib</t>
        </is>
      </c>
      <c r="C21" t="inlineStr">
        <is>
          <t>C07</t>
        </is>
      </c>
      <c r="D21" t="inlineStr">
        <is>
          <t>B2B2C contribution</t>
        </is>
      </c>
      <c r="E21" t="inlineStr">
        <is>
          <t>JPY/MAU/month</t>
        </is>
      </c>
      <c r="F21">
        <f>Inputs!F44-F20</f>
        <v/>
      </c>
      <c r="G21">
        <f>Inputs!G44-G20</f>
        <v/>
      </c>
      <c r="H21">
        <f>Inputs!H44-H20</f>
        <v/>
      </c>
      <c r="I21" t="inlineStr">
        <is>
          <t>b2b2c_fee-m4_cost</t>
        </is>
      </c>
    </row>
    <row r="22">
      <c r="A22" t="inlineStr">
        <is>
          <t>CLA-O21</t>
        </is>
      </c>
      <c r="B22" t="inlineStr">
        <is>
          <t>act_rate</t>
        </is>
      </c>
      <c r="C22" t="inlineStr">
        <is>
          <t>ALL</t>
        </is>
      </c>
      <c r="D22" t="inlineStr">
        <is>
          <t>Activated users per install</t>
        </is>
      </c>
      <c r="E22" t="inlineStr">
        <is>
          <t>share</t>
        </is>
      </c>
      <c r="F22">
        <f>Inputs!F4*Inputs!F5*Inputs!F6</f>
        <v/>
      </c>
      <c r="G22">
        <f>Inputs!G4*Inputs!G5*Inputs!G6</f>
        <v/>
      </c>
      <c r="H22">
        <f>Inputs!H4*Inputs!H5*Inputs!H6</f>
        <v/>
      </c>
      <c r="I22" t="inlineStr">
        <is>
          <t>p_signup*p_perm*p_ingest</t>
        </is>
      </c>
    </row>
    <row r="23">
      <c r="A23" t="inlineStr">
        <is>
          <t>CLA-O22</t>
        </is>
      </c>
      <c r="B23" t="inlineStr">
        <is>
          <t>cac_act</t>
        </is>
      </c>
      <c r="C23" t="inlineStr">
        <is>
          <t>ALL</t>
        </is>
      </c>
      <c r="D23" t="inlineStr">
        <is>
          <t>Paid acquisition cost per activated user</t>
        </is>
      </c>
      <c r="E23" t="inlineStr">
        <is>
          <t>JPY/activated user</t>
        </is>
      </c>
      <c r="F23">
        <f>Inputs!F3/F22</f>
        <v/>
      </c>
      <c r="G23">
        <f>Inputs!G3/G22</f>
        <v/>
      </c>
      <c r="H23">
        <f>Inputs!H3/H22</f>
        <v/>
      </c>
      <c r="I23" t="inlineStr">
        <is>
          <t>cpi/act_rate</t>
        </is>
      </c>
    </row>
    <row r="24">
      <c r="A24" t="inlineStr">
        <is>
          <t>CLA-O23</t>
        </is>
      </c>
      <c r="B24" t="inlineStr">
        <is>
          <t>cac_ret</t>
        </is>
      </c>
      <c r="C24" t="inlineStr">
        <is>
          <t>ALL</t>
        </is>
      </c>
      <c r="D24" t="inlineStr">
        <is>
          <t>Paid acquisition cost per user still active in month 3</t>
        </is>
      </c>
      <c r="E24" t="inlineStr">
        <is>
          <t>JPY/retained user</t>
        </is>
      </c>
      <c r="F24">
        <f>F23/Inputs!F7</f>
        <v/>
      </c>
      <c r="G24">
        <f>G23/Inputs!G7</f>
        <v/>
      </c>
      <c r="H24">
        <f>H23/Inputs!H7</f>
        <v/>
      </c>
      <c r="I24" t="inlineStr">
        <is>
          <t>cac_act/p_ret3</t>
        </is>
      </c>
    </row>
    <row r="25">
      <c r="A25" t="inlineStr">
        <is>
          <t>CLA-O24</t>
        </is>
      </c>
      <c r="B25" t="inlineStr">
        <is>
          <t>tail_months</t>
        </is>
      </c>
      <c r="C25" t="inlineStr">
        <is>
          <t>ALL</t>
        </is>
      </c>
      <c r="D25" t="inlineStr">
        <is>
          <t>Expected active months from month 3 for a retained user (capped)</t>
        </is>
      </c>
      <c r="E25" t="inlineStr">
        <is>
          <t>months</t>
        </is>
      </c>
      <c r="F25">
        <f>(1-(1-Inputs!F8)^(Inputs!F9-2))/Inputs!F8</f>
        <v/>
      </c>
      <c r="G25">
        <f>(1-(1-Inputs!G8)^(Inputs!G9-2))/Inputs!G8</f>
        <v/>
      </c>
      <c r="H25">
        <f>(1-(1-Inputs!H8)^(Inputs!H9-2))/Inputs!H8</f>
        <v/>
      </c>
      <c r="I25" t="inlineStr">
        <is>
          <t>(1-(1-churn)^(horizon-2))/churn</t>
        </is>
      </c>
    </row>
    <row r="26">
      <c r="A26" t="inlineStr">
        <is>
          <t>CLA-O25</t>
        </is>
      </c>
      <c r="B26" t="inlineStr">
        <is>
          <t>act_months</t>
        </is>
      </c>
      <c r="C26" t="inlineStr">
        <is>
          <t>ALL</t>
        </is>
      </c>
      <c r="D26" t="inlineStr">
        <is>
          <t>Expected active months per activated user (m1=1, m2 interpolated, m3+ retained tail)</t>
        </is>
      </c>
      <c r="E26" t="inlineStr">
        <is>
          <t>months</t>
        </is>
      </c>
      <c r="F26">
        <f>1+(1+Inputs!F7)/2+Inputs!F7*F25</f>
        <v/>
      </c>
      <c r="G26">
        <f>1+(1+Inputs!G7)/2+Inputs!G7*G25</f>
        <v/>
      </c>
      <c r="H26">
        <f>1+(1+Inputs!H7)/2+Inputs!H7*H25</f>
        <v/>
      </c>
      <c r="I26" t="inlineStr">
        <is>
          <t>1+(1+p_ret3)/2+p_ret3*tail_months</t>
        </is>
      </c>
    </row>
    <row r="27">
      <c r="A27" t="inlineStr">
        <is>
          <t>CLA-O26</t>
        </is>
      </c>
      <c r="B27" t="inlineStr">
        <is>
          <t>val_act_m2</t>
        </is>
      </c>
      <c r="C27" t="inlineStr">
        <is>
          <t>C03</t>
        </is>
      </c>
      <c r="D27" t="inlineStr">
        <is>
          <t>Contribution per activated user over lifetime (affiliate)</t>
        </is>
      </c>
      <c r="E27" t="inlineStr">
        <is>
          <t>JPY/activated user</t>
        </is>
      </c>
      <c r="F27">
        <f>F15*F26</f>
        <v/>
      </c>
      <c r="G27">
        <f>G15*G26</f>
        <v/>
      </c>
      <c r="H27">
        <f>H15*H26</f>
        <v/>
      </c>
      <c r="I27" t="inlineStr">
        <is>
          <t>m2_contrib*act_months</t>
        </is>
      </c>
    </row>
    <row r="28">
      <c r="A28" t="inlineStr">
        <is>
          <t>CLA-O27</t>
        </is>
      </c>
      <c r="B28" t="inlineStr">
        <is>
          <t>val_act_m3</t>
        </is>
      </c>
      <c r="C28" t="inlineStr">
        <is>
          <t>SUB</t>
        </is>
      </c>
      <c r="D28" t="inlineStr">
        <is>
          <t>Contribution per activated user over lifetime (subscription)</t>
        </is>
      </c>
      <c r="E28" t="inlineStr">
        <is>
          <t>JPY/activated user</t>
        </is>
      </c>
      <c r="F28">
        <f>F19*F26</f>
        <v/>
      </c>
      <c r="G28">
        <f>G19*G26</f>
        <v/>
      </c>
      <c r="H28">
        <f>H19*H26</f>
        <v/>
      </c>
      <c r="I28" t="inlineStr">
        <is>
          <t>m3_contrib*act_months</t>
        </is>
      </c>
    </row>
    <row r="29">
      <c r="A29" t="inlineStr">
        <is>
          <t>CLA-O28</t>
        </is>
      </c>
      <c r="B29" t="inlineStr">
        <is>
          <t>val_act_combo</t>
        </is>
      </c>
      <c r="C29" t="inlineStr">
        <is>
          <t>C01+C03</t>
        </is>
      </c>
      <c r="D29" t="inlineStr">
        <is>
          <t>Contribution per activated user over lifetime (tracking+handoff)</t>
        </is>
      </c>
      <c r="E29" t="inlineStr">
        <is>
          <t>JPY/activated user</t>
        </is>
      </c>
      <c r="F29">
        <f>F16*F26</f>
        <v/>
      </c>
      <c r="G29">
        <f>G16*G26</f>
        <v/>
      </c>
      <c r="H29">
        <f>H16*H26</f>
        <v/>
      </c>
      <c r="I29" t="inlineStr">
        <is>
          <t>combo_contrib*act_months</t>
        </is>
      </c>
    </row>
    <row r="30">
      <c r="A30" t="inlineStr">
        <is>
          <t>CLA-O29</t>
        </is>
      </c>
      <c r="B30" t="inlineStr">
        <is>
          <t>max_cpi_m2</t>
        </is>
      </c>
      <c r="C30" t="inlineStr">
        <is>
          <t>C03</t>
        </is>
      </c>
      <c r="D30" t="inlineStr">
        <is>
          <t>Maximum sustainable paid cost per install (affiliate), floor 0</t>
        </is>
      </c>
      <c r="E30" t="inlineStr">
        <is>
          <t>JPY/install</t>
        </is>
      </c>
      <c r="F30">
        <f>MAX(0,F27*F22)</f>
        <v/>
      </c>
      <c r="G30">
        <f>MAX(0,G27*G22)</f>
        <v/>
      </c>
      <c r="H30">
        <f>MAX(0,H27*H22)</f>
        <v/>
      </c>
      <c r="I30" t="inlineStr">
        <is>
          <t>MAX(0,val_act_m2*act_rate)</t>
        </is>
      </c>
    </row>
    <row r="31">
      <c r="A31" t="inlineStr">
        <is>
          <t>CLA-O30</t>
        </is>
      </c>
      <c r="B31" t="inlineStr">
        <is>
          <t>max_cpi_m3</t>
        </is>
      </c>
      <c r="C31" t="inlineStr">
        <is>
          <t>SUB</t>
        </is>
      </c>
      <c r="D31" t="inlineStr">
        <is>
          <t>Maximum sustainable paid cost per install (subscription), floor 0</t>
        </is>
      </c>
      <c r="E31" t="inlineStr">
        <is>
          <t>JPY/install</t>
        </is>
      </c>
      <c r="F31">
        <f>MAX(0,F28*F22)</f>
        <v/>
      </c>
      <c r="G31">
        <f>MAX(0,G28*G22)</f>
        <v/>
      </c>
      <c r="H31">
        <f>MAX(0,H28*H22)</f>
        <v/>
      </c>
      <c r="I31" t="inlineStr">
        <is>
          <t>MAX(0,val_act_m3*act_rate)</t>
        </is>
      </c>
    </row>
    <row r="32">
      <c r="A32" t="inlineStr">
        <is>
          <t>CLA-O31</t>
        </is>
      </c>
      <c r="B32" t="inlineStr">
        <is>
          <t>max_cpi_combo</t>
        </is>
      </c>
      <c r="C32" t="inlineStr">
        <is>
          <t>C01+C03</t>
        </is>
      </c>
      <c r="D32" t="inlineStr">
        <is>
          <t>Maximum sustainable paid cost per install (tracking+handoff), floor 0</t>
        </is>
      </c>
      <c r="E32" t="inlineStr">
        <is>
          <t>JPY/install</t>
        </is>
      </c>
      <c r="F32">
        <f>MAX(0,F29*F22)</f>
        <v/>
      </c>
      <c r="G32">
        <f>MAX(0,G29*G22)</f>
        <v/>
      </c>
      <c r="H32">
        <f>MAX(0,H29*H22)</f>
        <v/>
      </c>
      <c r="I32" t="inlineStr">
        <is>
          <t>MAX(0,val_act_combo*act_rate)</t>
        </is>
      </c>
    </row>
    <row r="33">
      <c r="A33" t="inlineStr">
        <is>
          <t>CLA-F01</t>
        </is>
      </c>
      <c r="B33" t="inlineStr">
        <is>
          <t>f_min_handoff</t>
        </is>
      </c>
      <c r="C33" t="inlineStr">
        <is>
          <t>C03</t>
        </is>
      </c>
      <c r="D33" t="inlineStr">
        <is>
          <t>FRONTIER: minimum handoff share for affiliate contribution &gt;= 0</t>
        </is>
      </c>
      <c r="E33" t="inlineStr">
        <is>
          <t>share</t>
        </is>
      </c>
      <c r="F33">
        <f>F14/(Inputs!F10*Inputs!F26*Inputs!F28*Inputs!F29*F10)</f>
        <v/>
      </c>
      <c r="G33">
        <f>G14/(Inputs!G10*Inputs!G26*Inputs!G28*Inputs!G29*G10)</f>
        <v/>
      </c>
      <c r="H33">
        <f>H14/(Inputs!H10*Inputs!H26*Inputs!H28*Inputs!H29*H10)</f>
        <v/>
      </c>
      <c r="I33" t="inlineStr">
        <is>
          <t>m2_cost/(orders*coverage*completion*attributable*net_rev_order)</t>
        </is>
      </c>
    </row>
    <row r="34">
      <c r="A34" t="inlineStr">
        <is>
          <t>CLA-F02</t>
        </is>
      </c>
      <c r="B34" t="inlineStr">
        <is>
          <t>f_min_attr_orders</t>
        </is>
      </c>
      <c r="C34" t="inlineStr">
        <is>
          <t>C03</t>
        </is>
      </c>
      <c r="D34" t="inlineStr">
        <is>
          <t>FRONTIER: minimum attributable orders per active for affiliate contribution &gt;= 0</t>
        </is>
      </c>
      <c r="E34" t="inlineStr">
        <is>
          <t>orders/active/month</t>
        </is>
      </c>
      <c r="F34">
        <f>F14/F10</f>
        <v/>
      </c>
      <c r="G34">
        <f>G14/G10</f>
        <v/>
      </c>
      <c r="H34">
        <f>H14/H10</f>
        <v/>
      </c>
      <c r="I34" t="inlineStr">
        <is>
          <t>m2_cost/net_rev_order</t>
        </is>
      </c>
    </row>
    <row r="35">
      <c r="A35" t="inlineStr">
        <is>
          <t>CLA-F03</t>
        </is>
      </c>
      <c r="B35" t="inlineStr">
        <is>
          <t>f_min_coverage</t>
        </is>
      </c>
      <c r="C35" t="inlineStr">
        <is>
          <t>C03</t>
        </is>
      </c>
      <c r="D35" t="inlineStr">
        <is>
          <t>FRONTIER: minimum eligible merchant coverage for affiliate contribution &gt;= 0 (&gt;1 = impossible)</t>
        </is>
      </c>
      <c r="E35" t="inlineStr">
        <is>
          <t>share</t>
        </is>
      </c>
      <c r="F35">
        <f>F14/(Inputs!F10*Inputs!F27*Inputs!F28*Inputs!F29*F10)</f>
        <v/>
      </c>
      <c r="G35">
        <f>G14/(Inputs!G10*Inputs!G27*Inputs!G28*Inputs!G29*G10)</f>
        <v/>
      </c>
      <c r="H35">
        <f>H14/(Inputs!H10*Inputs!H27*Inputs!H28*Inputs!H29*H10)</f>
        <v/>
      </c>
      <c r="I35" t="inlineStr">
        <is>
          <t>m2_cost/(orders*handoff*completion*attributable*net_rev_order)</t>
        </is>
      </c>
    </row>
    <row r="36">
      <c r="A36" t="inlineStr">
        <is>
          <t>CLA-F04</t>
        </is>
      </c>
      <c r="B36" t="inlineStr">
        <is>
          <t>f_max_human_min</t>
        </is>
      </c>
      <c r="C36" t="inlineStr">
        <is>
          <t>C03</t>
        </is>
      </c>
      <c r="D36" t="inlineStr">
        <is>
          <t>FRONTIER: maximum human minutes per active per month before affiliate contribution &lt; 0 (negative = none affordable)</t>
        </is>
      </c>
      <c r="E36" t="inlineStr">
        <is>
          <t>minutes/active/month</t>
        </is>
      </c>
      <c r="F36">
        <f>(F11-F13-Inputs!F20)/Inputs!F23</f>
        <v/>
      </c>
      <c r="G36">
        <f>(G11-G13-Inputs!G20)/Inputs!G23</f>
        <v/>
      </c>
      <c r="H36">
        <f>(H11-H13-Inputs!H20)/Inputs!H23</f>
        <v/>
      </c>
      <c r="I36" t="inlineStr">
        <is>
          <t>(m2_rev-inf_shop-hosting)/labor_min</t>
        </is>
      </c>
    </row>
    <row r="37">
      <c r="A37" t="inlineStr">
        <is>
          <t>CLA-F05</t>
        </is>
      </c>
      <c r="B37" t="inlineStr">
        <is>
          <t>f_max_human_min_per_order</t>
        </is>
      </c>
      <c r="C37" t="inlineStr">
        <is>
          <t>C03</t>
        </is>
      </c>
      <c r="D37" t="inlineStr">
        <is>
          <t>FRONTIER: maximum human minutes per attributable order</t>
        </is>
      </c>
      <c r="E37" t="inlineStr">
        <is>
          <t>minutes/order</t>
        </is>
      </c>
      <c r="F37">
        <f>(F11-F13-Inputs!F20)/Inputs!F23/F9</f>
        <v/>
      </c>
      <c r="G37">
        <f>(G11-G13-Inputs!G20)/Inputs!G23/G9</f>
        <v/>
      </c>
      <c r="H37">
        <f>(H11-H13-Inputs!H20)/Inputs!H23/H9</f>
        <v/>
      </c>
      <c r="I37" t="inlineStr">
        <is>
          <t>(m2_rev-inf_shop-hosting)/labor_min/attr_orders</t>
        </is>
      </c>
    </row>
    <row r="38">
      <c r="A38" t="inlineStr">
        <is>
          <t>CLA-F06</t>
        </is>
      </c>
      <c r="B38" t="inlineStr">
        <is>
          <t>f_min_handoff_cac</t>
        </is>
      </c>
      <c r="C38" t="inlineStr">
        <is>
          <t>C03</t>
        </is>
      </c>
      <c r="D38" t="inlineStr">
        <is>
          <t>FRONTIER: minimum handoff share to recover paid CAC within the capped lifetime</t>
        </is>
      </c>
      <c r="E38" t="inlineStr">
        <is>
          <t>share</t>
        </is>
      </c>
      <c r="F38">
        <f>(F23/F26+F14)/(Inputs!F10*Inputs!F26*Inputs!F28*Inputs!F29*F10)</f>
        <v/>
      </c>
      <c r="G38">
        <f>(G23/G26+G14)/(Inputs!G10*Inputs!G26*Inputs!G28*Inputs!G29*G10)</f>
        <v/>
      </c>
      <c r="H38">
        <f>(H23/H26+H14)/(Inputs!H10*Inputs!H26*Inputs!H28*Inputs!H29*H10)</f>
        <v/>
      </c>
      <c r="I38" t="inlineStr">
        <is>
          <t>(cac_act/act_months+m2_cost)/(orders*coverage*completion*attributable*net_rev_order)</t>
        </is>
      </c>
    </row>
    <row r="39">
      <c r="A39" t="inlineStr">
        <is>
          <t>CLA-F07</t>
        </is>
      </c>
      <c r="B39" t="inlineStr">
        <is>
          <t>f_min_paid_conv</t>
        </is>
      </c>
      <c r="C39" t="inlineStr">
        <is>
          <t>SUB</t>
        </is>
      </c>
      <c r="D39" t="inlineStr">
        <is>
          <t>FRONTIER: minimum paid conversion for subscription contribution &gt;= 0</t>
        </is>
      </c>
      <c r="E39" t="inlineStr">
        <is>
          <t>share of actives</t>
        </is>
      </c>
      <c r="F39">
        <f>F7/(F17-F18)</f>
        <v/>
      </c>
      <c r="G39">
        <f>G7/(G17-G18)</f>
        <v/>
      </c>
      <c r="H39">
        <f>H7/(H17-H18)</f>
        <v/>
      </c>
      <c r="I39" t="inlineStr">
        <is>
          <t>m1_cost/(net_price-paid_exc_cost)</t>
        </is>
      </c>
    </row>
    <row r="40">
      <c r="A40" t="inlineStr">
        <is>
          <t>CLA-F08</t>
        </is>
      </c>
      <c r="B40" t="inlineStr">
        <is>
          <t>f_min_paid_conv_cac</t>
        </is>
      </c>
      <c r="C40" t="inlineStr">
        <is>
          <t>SUB</t>
        </is>
      </c>
      <c r="D40" t="inlineStr">
        <is>
          <t>FRONTIER: minimum paid conversion to recover paid CAC within the capped lifetime</t>
        </is>
      </c>
      <c r="E40" t="inlineStr">
        <is>
          <t>share of actives</t>
        </is>
      </c>
      <c r="F40">
        <f>(F23/F26+F7)/(F17-F18)</f>
        <v/>
      </c>
      <c r="G40">
        <f>(G23/G26+G7)/(G17-G18)</f>
        <v/>
      </c>
      <c r="H40">
        <f>(H23/H26+H7)/(H17-H18)</f>
        <v/>
      </c>
      <c r="I40" t="inlineStr">
        <is>
          <t>(cac_act/act_months+m1_cost)/(net_price-paid_exc_cost)</t>
        </is>
      </c>
    </row>
    <row r="41">
      <c r="A41" t="inlineStr">
        <is>
          <t>CLA-F09</t>
        </is>
      </c>
      <c r="B41" t="inlineStr">
        <is>
          <t>f_min_b2b2c_fee</t>
        </is>
      </c>
      <c r="C41" t="inlineStr">
        <is>
          <t>C07</t>
        </is>
      </c>
      <c r="D41" t="inlineStr">
        <is>
          <t>FRONTIER: minimum partner fee per MAU for B2B2C contribution &gt;= 0</t>
        </is>
      </c>
      <c r="E41" t="inlineStr">
        <is>
          <t>JPY/MAU/month</t>
        </is>
      </c>
      <c r="F41">
        <f>F20</f>
        <v/>
      </c>
      <c r="G41">
        <f>G20</f>
        <v/>
      </c>
      <c r="H41">
        <f>H20</f>
        <v/>
      </c>
      <c r="I41" t="inlineStr">
        <is>
          <t>m4_cost</t>
        </is>
      </c>
    </row>
    <row r="42">
      <c r="A42" t="inlineStr">
        <is>
          <t>CLA-F10</t>
        </is>
      </c>
      <c r="B42" t="inlineStr">
        <is>
          <t>f_actives_fixed_m2</t>
        </is>
      </c>
      <c r="C42" t="inlineStr">
        <is>
          <t>C03</t>
        </is>
      </c>
      <c r="D42" t="inlineStr">
        <is>
          <t>Actives needed for affiliate contribution to cover the minimum team (blank if contribution &lt;= 0)</t>
        </is>
      </c>
      <c r="E42" t="inlineStr">
        <is>
          <t>active users</t>
        </is>
      </c>
      <c r="F42">
        <f>IF(F15&gt;0,Inputs!F46/F15,"n/a")</f>
        <v/>
      </c>
      <c r="G42">
        <f>IF(G15&gt;0,Inputs!G46/G15,"n/a")</f>
        <v/>
      </c>
      <c r="H42">
        <f>IF(H15&gt;0,Inputs!H46/H15,"n/a")</f>
        <v/>
      </c>
      <c r="I42" t="inlineStr">
        <is>
          <t>IF(m2_contrib&gt;0,team_fixed/m2_contrib,"n/a")</t>
        </is>
      </c>
    </row>
    <row r="43">
      <c r="A43" t="inlineStr">
        <is>
          <t>CLA-F11</t>
        </is>
      </c>
      <c r="B43" t="inlineStr">
        <is>
          <t>f_actives_fixed_m4</t>
        </is>
      </c>
      <c r="C43" t="inlineStr">
        <is>
          <t>C07</t>
        </is>
      </c>
      <c r="D43" t="inlineStr">
        <is>
          <t>MAUs needed for B2B2C contribution to cover the minimum team (blank if contribution &lt;= 0)</t>
        </is>
      </c>
      <c r="E43" t="inlineStr">
        <is>
          <t>MAU</t>
        </is>
      </c>
      <c r="F43">
        <f>IF(F21&gt;0,Inputs!F46/F21,"n/a")</f>
        <v/>
      </c>
      <c r="G43">
        <f>IF(G21&gt;0,Inputs!G46/G21,"n/a")</f>
        <v/>
      </c>
      <c r="H43">
        <f>IF(H21&gt;0,Inputs!H46/H21,"n/a")</f>
        <v/>
      </c>
      <c r="I43" t="inlineStr">
        <is>
          <t>IF(m4_contrib&gt;0,team_fixed/m4_contrib,"n/a")</t>
        </is>
      </c>
    </row>
    <row r="44">
      <c r="A44" t="inlineStr">
        <is>
          <t>CLA-M01</t>
        </is>
      </c>
      <c r="B44" t="inlineStr">
        <is>
          <t>eligible_hh</t>
        </is>
      </c>
      <c r="C44" t="inlineStr">
        <is>
          <t>MKT</t>
        </is>
      </c>
      <c r="D44" t="inlineStr">
        <is>
          <t>Eligible heavy multi-merchant households</t>
        </is>
      </c>
      <c r="E44" t="inlineStr">
        <is>
          <t>households</t>
        </is>
      </c>
      <c r="F44">
        <f>Inputs!F48*Inputs!F49*Inputs!F50</f>
        <v/>
      </c>
      <c r="G44">
        <f>Inputs!G48*Inputs!G49*Inputs!G50</f>
        <v/>
      </c>
      <c r="H44">
        <f>Inputs!H48*Inputs!H49*Inputs!H50</f>
        <v/>
      </c>
      <c r="I44" t="inlineStr">
        <is>
          <t>households*netshop_share*heavy_share</t>
        </is>
      </c>
    </row>
    <row r="45">
      <c r="A45" t="inlineStr">
        <is>
          <t>CLA-M02</t>
        </is>
      </c>
      <c r="B45" t="inlineStr">
        <is>
          <t>active_hh</t>
        </is>
      </c>
      <c r="C45" t="inlineStr">
        <is>
          <t>MKT</t>
        </is>
      </c>
      <c r="D45" t="inlineStr">
        <is>
          <t>Retained active households</t>
        </is>
      </c>
      <c r="E45" t="inlineStr">
        <is>
          <t>households</t>
        </is>
      </c>
      <c r="F45">
        <f>F44*Inputs!F51</f>
        <v/>
      </c>
      <c r="G45">
        <f>G44*Inputs!G51</f>
        <v/>
      </c>
      <c r="H45">
        <f>H44*Inputs!H51</f>
        <v/>
      </c>
      <c r="I45" t="inlineStr">
        <is>
          <t>eligible_hh*adoption</t>
        </is>
      </c>
    </row>
    <row r="46">
      <c r="A46" t="inlineStr">
        <is>
          <t>CLA-M03</t>
        </is>
      </c>
      <c r="B46" t="inlineStr">
        <is>
          <t>annual_rev_m2</t>
        </is>
      </c>
      <c r="C46" t="inlineStr">
        <is>
          <t>MKT</t>
        </is>
      </c>
      <c r="D46" t="inlineStr">
        <is>
          <t>Annual affiliate revenue (one active per household)</t>
        </is>
      </c>
      <c r="E46" t="inlineStr">
        <is>
          <t>JPY/year</t>
        </is>
      </c>
      <c r="F46">
        <f>F45*F11*12</f>
        <v/>
      </c>
      <c r="G46">
        <f>G45*G11*12</f>
        <v/>
      </c>
      <c r="H46">
        <f>H45*H11*12</f>
        <v/>
      </c>
      <c r="I46" t="inlineStr">
        <is>
          <t>active_hh*m2_rev*12</t>
        </is>
      </c>
    </row>
    <row r="47">
      <c r="A47" t="inlineStr">
        <is>
          <t>CLA-M04</t>
        </is>
      </c>
      <c r="B47" t="inlineStr">
        <is>
          <t>annual_contrib_m2</t>
        </is>
      </c>
      <c r="C47" t="inlineStr">
        <is>
          <t>MKT</t>
        </is>
      </c>
      <c r="D47" t="inlineStr">
        <is>
          <t>Annual affiliate contribution before fixed costs and CAC</t>
        </is>
      </c>
      <c r="E47" t="inlineStr">
        <is>
          <t>JPY/year</t>
        </is>
      </c>
      <c r="F47">
        <f>F45*F15*12</f>
        <v/>
      </c>
      <c r="G47">
        <f>G45*G15*12</f>
        <v/>
      </c>
      <c r="H47">
        <f>H45*H15*12</f>
        <v/>
      </c>
      <c r="I47" t="inlineStr">
        <is>
          <t>active_hh*m2_contrib*12</t>
        </is>
      </c>
    </row>
    <row r="48">
      <c r="A48" t="inlineStr">
        <is>
          <t>CLA-M05</t>
        </is>
      </c>
      <c r="B48" t="inlineStr">
        <is>
          <t>annual_rev_m3</t>
        </is>
      </c>
      <c r="C48" t="inlineStr">
        <is>
          <t>MKT</t>
        </is>
      </c>
      <c r="D48" t="inlineStr">
        <is>
          <t>Annual subscription revenue</t>
        </is>
      </c>
      <c r="E48" t="inlineStr">
        <is>
          <t>JPY/year</t>
        </is>
      </c>
      <c r="F48">
        <f>F45*Inputs!F41*F17*12</f>
        <v/>
      </c>
      <c r="G48">
        <f>G45*Inputs!G41*G17*12</f>
        <v/>
      </c>
      <c r="H48">
        <f>H45*Inputs!H41*H17*12</f>
        <v/>
      </c>
      <c r="I48" t="inlineStr">
        <is>
          <t>active_hh*paid_conv*net_price*12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2026-10-04T20:53:20Z</dcterms:created>
  <dcterms:modified xsi:type="dcterms:W3CDTF">2026-10-04T20:53:20Z</dcterms:modified>
</cp:coreProperties>
</file>